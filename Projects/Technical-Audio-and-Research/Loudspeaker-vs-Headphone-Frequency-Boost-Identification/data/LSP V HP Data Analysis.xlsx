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9" sheetId="1" r:id="rId5"/>
    <sheet state="visible" name="Sheet10" sheetId="2" r:id="rId6"/>
    <sheet state="visible" name="Master w# Responses" sheetId="3" r:id="rId7"/>
    <sheet state="visible" name="By Groups" sheetId="4" r:id="rId8"/>
    <sheet state="visible" name="Question by Question" sheetId="5" r:id="rId9"/>
    <sheet state="visible" name="Marker Titles" sheetId="6" r:id="rId10"/>
    <sheet state="visible" name="Answer Key Organized By Set" sheetId="7" r:id="rId11"/>
    <sheet state="visible" name="Set Trials Ordered Randomly" sheetId="8" r:id="rId12"/>
    <sheet state="visible" name="Scantron Data Answers" sheetId="9" r:id="rId13"/>
  </sheets>
  <definedNames/>
  <calcPr/>
</workbook>
</file>

<file path=xl/sharedStrings.xml><?xml version="1.0" encoding="utf-8"?>
<sst xmlns="http://schemas.openxmlformats.org/spreadsheetml/2006/main" count="6729" uniqueCount="212">
  <si>
    <t>Subect</t>
  </si>
  <si>
    <t>HP</t>
  </si>
  <si>
    <t>LSP</t>
  </si>
  <si>
    <t>250 HZ Control</t>
  </si>
  <si>
    <t>250 HZ +2</t>
  </si>
  <si>
    <t>250 HZ +4</t>
  </si>
  <si>
    <t>250 HZ +6</t>
  </si>
  <si>
    <t>250 HZ +8</t>
  </si>
  <si>
    <t>500 HZ Control</t>
  </si>
  <si>
    <t>500 HZ +2</t>
  </si>
  <si>
    <t>500 HZ +4</t>
  </si>
  <si>
    <t>500 HZ +6</t>
  </si>
  <si>
    <t>500 HZ +8</t>
  </si>
  <si>
    <t>1 kHZ Control</t>
  </si>
  <si>
    <t>1 kHZ +2</t>
  </si>
  <si>
    <t>1 kHZ +4</t>
  </si>
  <si>
    <t>1 kHZ +6</t>
  </si>
  <si>
    <t>1 kHZ +8</t>
  </si>
  <si>
    <t>250 HZ -2</t>
  </si>
  <si>
    <t>250 HZ -4</t>
  </si>
  <si>
    <t>250 HZ -6</t>
  </si>
  <si>
    <t>250 HZ -8</t>
  </si>
  <si>
    <t>500 HZ -2</t>
  </si>
  <si>
    <t>500 HZ -4</t>
  </si>
  <si>
    <t>500 HZ -6</t>
  </si>
  <si>
    <t>500 HZ -8</t>
  </si>
  <si>
    <t>1 kHZ -2</t>
  </si>
  <si>
    <t>1 kHZ -4</t>
  </si>
  <si>
    <t>1 kHZ -6</t>
  </si>
  <si>
    <t>1 kHZ -8</t>
  </si>
  <si>
    <t>JAESAUSTIN</t>
  </si>
  <si>
    <t>1</t>
  </si>
  <si>
    <t>STLLINGSJACOB</t>
  </si>
  <si>
    <t>0</t>
  </si>
  <si>
    <t>GAINES ANTHONY H</t>
  </si>
  <si>
    <t>RAYMOND PLASSE</t>
  </si>
  <si>
    <t>LAFOUNTAINE LISA M</t>
  </si>
  <si>
    <t>LEE FAWTHROP</t>
  </si>
  <si>
    <t>BARNES KENDALL</t>
  </si>
  <si>
    <t>ROBERTSJUSTIN</t>
  </si>
  <si>
    <t>GEORGELAWSON</t>
  </si>
  <si>
    <t>WEIDMANALEKR</t>
  </si>
  <si>
    <t>SWEENEY JOHN P</t>
  </si>
  <si>
    <t>MILLERZACHI</t>
  </si>
  <si>
    <t>Group(2-Headphone/1-Loudspeaker</t>
  </si>
  <si>
    <t>T_01</t>
  </si>
  <si>
    <t>T_02</t>
  </si>
  <si>
    <t>T_03</t>
  </si>
  <si>
    <t>T_04</t>
  </si>
  <si>
    <t>T_05</t>
  </si>
  <si>
    <t>T_06</t>
  </si>
  <si>
    <t>T_07</t>
  </si>
  <si>
    <t>T_08</t>
  </si>
  <si>
    <t>T_09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</si>
  <si>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</si>
  <si>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</si>
  <si>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</si>
  <si>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</si>
  <si>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</si>
  <si>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</si>
  <si>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</si>
  <si>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</si>
  <si>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</si>
  <si>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</si>
  <si>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</si>
  <si>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</si>
  <si>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</si>
  <si>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</si>
  <si>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</si>
  <si>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</si>
  <si>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T_26</t>
  </si>
  <si>
    <t>T_27</t>
  </si>
  <si>
    <t>T_28</t>
  </si>
  <si>
    <t>T_29</t>
  </si>
  <si>
    <t>T_30</t>
  </si>
  <si>
    <t>D</t>
  </si>
  <si>
    <t>E</t>
  </si>
  <si>
    <t>A</t>
  </si>
  <si>
    <t>C</t>
  </si>
  <si>
    <t>B</t>
  </si>
  <si>
    <t>Answer Key</t>
  </si>
  <si>
    <t>Question #</t>
  </si>
  <si>
    <t>JAMESAUSTIN</t>
  </si>
  <si>
    <t>1 kHz Boost +8dB</t>
  </si>
  <si>
    <t>STALLINGSJACOB</t>
  </si>
  <si>
    <t>250 Hz Cut Control</t>
  </si>
  <si>
    <t>250 Hz Cut -2dB</t>
  </si>
  <si>
    <t>250 Hz Cut -4dB</t>
  </si>
  <si>
    <t>250 Hz Cut -6dB</t>
  </si>
  <si>
    <t>250 Hz Cut -8dB</t>
  </si>
  <si>
    <t>500 Hz Cut Control</t>
  </si>
  <si>
    <t>500 Hz Cut -4dB</t>
  </si>
  <si>
    <t>ROBERTSJUTIN</t>
  </si>
  <si>
    <t>500 Hz Cut -6dB</t>
  </si>
  <si>
    <t>500 Hz Cut -8dB</t>
  </si>
  <si>
    <t>1 kHz Cut Control</t>
  </si>
  <si>
    <t>NA</t>
  </si>
  <si>
    <t>Sample Question #'s</t>
  </si>
  <si>
    <t>GEORGELAWSONM</t>
  </si>
  <si>
    <t>LEE FAWHROP</t>
  </si>
  <si>
    <t>GANES ANTHONY H</t>
  </si>
  <si>
    <t>Name</t>
  </si>
  <si>
    <t>SET</t>
  </si>
  <si>
    <t>Loudspeaker(1)/HP(2) 1-15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</si>
  <si>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</si>
  <si>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</si>
  <si>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</si>
  <si>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</si>
  <si>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</si>
  <si>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</si>
  <si>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</si>
  <si>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</si>
  <si>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</si>
  <si>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</si>
  <si>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</si>
  <si>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</si>
  <si>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</si>
  <si>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</si>
  <si>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T-15</t>
  </si>
  <si>
    <t>Loudspeaker(1)/HP(2) 16-30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</si>
  <si>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</si>
  <si>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</si>
  <si>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</si>
  <si>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</si>
  <si>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</si>
  <si>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</si>
  <si>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</si>
  <si>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</si>
  <si>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</si>
  <si>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</si>
  <si>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</si>
  <si>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</si>
  <si>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</si>
  <si>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</si>
  <si>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</si>
  <si>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Group 1/Group 2 Comp. Acc.</t>
  </si>
  <si>
    <t>HP vs. LSP</t>
  </si>
  <si>
    <t>Means by DB Boost/Cut (0-8 dB)</t>
  </si>
  <si>
    <t>Answer Key #</t>
  </si>
  <si>
    <t xml:space="preserve"> ALL PARTIPANTS</t>
  </si>
  <si>
    <t>Means Group 2</t>
  </si>
  <si>
    <t>Means Group 1</t>
  </si>
  <si>
    <t>Means Group 2 MINUS IE Listeners</t>
  </si>
  <si>
    <t>Means Group 1 MINUS IE Listeners</t>
  </si>
  <si>
    <t>Means Group 1 Unexp listeners</t>
  </si>
  <si>
    <t>Stats By Question</t>
  </si>
  <si>
    <t>MEANS ALL PARTIPANTS</t>
  </si>
  <si>
    <t>Marker</t>
  </si>
  <si>
    <t xml:space="preserve">What is it? </t>
  </si>
  <si>
    <t>Scantron Letter</t>
  </si>
  <si>
    <t>250 Hz Boost Control</t>
  </si>
  <si>
    <t>250 Hz Boost +2dB</t>
  </si>
  <si>
    <t>250 Hz Boost +4dB</t>
  </si>
  <si>
    <t>250 Hz Boost +6dB</t>
  </si>
  <si>
    <t>250 Hz Boost +8dB</t>
  </si>
  <si>
    <t>500 Hz Boost Control</t>
  </si>
  <si>
    <t>500 Hz Boost +2dB</t>
  </si>
  <si>
    <t>500 Hz Boost +6dB</t>
  </si>
  <si>
    <t>500 Hz Boost +8dB</t>
  </si>
  <si>
    <t>1 kHz Boost Control</t>
  </si>
  <si>
    <t>1 kHz Boost +2dB</t>
  </si>
  <si>
    <t>MEANS ALL PARTICIPANTS</t>
  </si>
  <si>
    <t>1 kHz Boost +4dB</t>
  </si>
  <si>
    <t>1 kHz Boost +6dB</t>
  </si>
  <si>
    <t xml:space="preserve">Means Group 2 </t>
  </si>
  <si>
    <t>1 kHz Cut -2dB</t>
  </si>
  <si>
    <t>1 kHz Cut -4dB</t>
  </si>
  <si>
    <t>1 kHz Cut -6dB</t>
  </si>
  <si>
    <t>1 kHz Cut -8dB</t>
  </si>
  <si>
    <t>Means Group 2-IE Listeners</t>
  </si>
  <si>
    <t>Means Group 1-IE Listeners</t>
  </si>
  <si>
    <t xml:space="preserve">Group 1 </t>
  </si>
  <si>
    <t>Group 2</t>
  </si>
  <si>
    <t xml:space="preserve">Group 1 EXP </t>
  </si>
  <si>
    <t>UNEXP Listeners</t>
  </si>
  <si>
    <t>Exp Listeners</t>
  </si>
  <si>
    <t>Group 1 % Out of 90</t>
  </si>
  <si>
    <t>Group 2 % Out of 90</t>
  </si>
  <si>
    <t>EXP %</t>
  </si>
  <si>
    <t xml:space="preserve"> UNEXP Listeners %</t>
  </si>
  <si>
    <t>Exp Listeners %</t>
  </si>
  <si>
    <t>HP Means EXP LISTENERS</t>
  </si>
  <si>
    <t>LSP Means EXP. LISTENERS</t>
  </si>
  <si>
    <t>HP INEXP Listeners Means(out of 90)</t>
  </si>
  <si>
    <t>LSP INEXP Listeners Means(out of 90)</t>
  </si>
  <si>
    <t xml:space="preserve">HP Means ALL </t>
  </si>
  <si>
    <t>LSP Means ALL</t>
  </si>
  <si>
    <t>HP MEANS EXP. LISTENERS %</t>
  </si>
  <si>
    <t xml:space="preserve">LSP Means EXP. LISTENERS % </t>
  </si>
  <si>
    <t>HP NE Group %</t>
  </si>
  <si>
    <t>LSP NE Group %</t>
  </si>
  <si>
    <t>HP % Correct</t>
  </si>
  <si>
    <t>LSP % Correct</t>
  </si>
  <si>
    <t>HP Trained</t>
  </si>
  <si>
    <t>LSP Trained</t>
  </si>
  <si>
    <t>HP UnEXP</t>
  </si>
  <si>
    <t>LSP UnEXP</t>
  </si>
  <si>
    <t>Means Group 1 Unexp Listeners</t>
  </si>
  <si>
    <t>Means by DB Boost/Cut (-8-+8 dB)</t>
  </si>
  <si>
    <t>Target #</t>
  </si>
  <si>
    <t>N30, N25, N20,N29,N24,N19</t>
  </si>
  <si>
    <t>**Utilized https://www.random.org/lists/ for the randomization of trials**</t>
  </si>
  <si>
    <t>500 Hz Boost +4dB</t>
  </si>
  <si>
    <t>500 Hz Cut -2dB</t>
  </si>
  <si>
    <t>Trial Number (in Set)</t>
  </si>
  <si>
    <t>Set 1</t>
  </si>
  <si>
    <t>Set 2</t>
  </si>
  <si>
    <t>Set 3</t>
  </si>
  <si>
    <t>Set 4</t>
  </si>
  <si>
    <t>Set 5</t>
  </si>
  <si>
    <t>Break</t>
  </si>
  <si>
    <t>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</si>
</sst>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2">
    <font>
      <sz val="10.0"/>
      <color rgb="FF000000"/>
      <name val="Arial"/>
      <scheme val="minor"/>
    </font>
    <font>
      <b/>
      <color theme="1"/>
      <name val="Arial"/>
      <scheme val="minor"/>
    </font>
    <font>
      <color rgb="FFFF0000"/>
      <name val="Tahoma"/>
    </font>
    <font>
      <b/>
      <color rgb="FFFF9900"/>
      <name val="Arial"/>
      <scheme val="minor"/>
    </font>
    <font>
      <sz val="10.0"/>
      <color rgb="FFFF0000"/>
      <name val="Tahoma"/>
    </font>
    <font>
      <b/>
      <sz val="10.0"/>
      <color rgb="FFFF0000"/>
      <name val="Tahoma"/>
    </font>
    <font>
      <b/>
      <color rgb="FF4285F4"/>
      <name val="Tahoma"/>
    </font>
    <font>
      <color theme="1"/>
      <name val="Arial"/>
    </font>
    <font>
      <b/>
      <color theme="1"/>
      <name val="Arial"/>
    </font>
    <font>
      <b/>
      <color theme="5"/>
      <name val="Tahoma"/>
    </font>
    <font>
      <b/>
      <color theme="5"/>
      <name val="Arial"/>
      <scheme val="minor"/>
    </font>
    <font>
      <b/>
      <color rgb="FF4285F4"/>
      <name val="Arial"/>
      <scheme val="minor"/>
    </font>
    <font>
      <color theme="1"/>
      <name val="Arial"/>
      <scheme val="minor"/>
    </font>
    <font>
      <b/>
      <color rgb="FFFF0000"/>
      <name val="Tahoma"/>
    </font>
    <font>
      <color rgb="FF4285F4"/>
      <name val="Tahoma"/>
    </font>
    <font>
      <color rgb="FF4285F4"/>
      <name val="Arial"/>
      <scheme val="minor"/>
    </font>
    <font>
      <color theme="4"/>
      <name val="Tahoma"/>
    </font>
    <font>
      <color theme="4"/>
      <name val="Arial"/>
    </font>
    <font>
      <color rgb="FF4285F4"/>
      <name val="Arial"/>
    </font>
    <font>
      <b/>
      <color rgb="FF000000"/>
      <name val="Tahoma"/>
    </font>
    <font>
      <sz val="12.0"/>
      <color rgb="FF980000"/>
      <name val="Calibri"/>
    </font>
    <font>
      <color theme="1"/>
      <name val="Tahoma"/>
    </font>
    <font>
      <b/>
      <color theme="7"/>
      <name val="Tahoma"/>
    </font>
    <font>
      <b/>
      <sz val="9.0"/>
      <color rgb="FF4285F4"/>
      <name val="Tahoma"/>
    </font>
    <font>
      <b/>
      <color rgb="FF34A853"/>
      <name val="Tahoma"/>
    </font>
    <font>
      <b/>
      <color rgb="FF46BDC6"/>
      <name val="Tahoma"/>
    </font>
    <font>
      <b/>
      <sz val="9.0"/>
      <color rgb="FF34A853"/>
      <name val="Tahoma"/>
    </font>
    <font>
      <b/>
      <color rgb="FF1F1F1F"/>
      <name val="Tahoma"/>
    </font>
    <font>
      <color rgb="FF46BDC6"/>
      <name val="Tahoma"/>
    </font>
    <font>
      <b/>
      <sz val="9.0"/>
      <color rgb="FF46BDC6"/>
      <name val="Tahoma"/>
    </font>
    <font>
      <b/>
      <color rgb="FF1F1F1F"/>
      <name val="Arial"/>
    </font>
    <font>
      <b/>
      <color theme="1"/>
      <name val="Tahoma"/>
    </font>
    <font>
      <b/>
      <sz val="9.0"/>
      <color theme="1"/>
      <name val="Tahoma"/>
    </font>
    <font>
      <b/>
      <color rgb="FF351C75"/>
      <name val="Arial"/>
      <scheme val="minor"/>
    </font>
    <font>
      <color rgb="FFFF0000"/>
      <name val="Arial"/>
      <scheme val="minor"/>
    </font>
    <font>
      <color rgb="FFFF0000"/>
      <name val="Arial"/>
    </font>
    <font>
      <color rgb="FF000000"/>
      <name val="Tahoma"/>
    </font>
    <font>
      <color rgb="FF000000"/>
      <name val="Arial"/>
    </font>
    <font>
      <b/>
      <color theme="4"/>
      <name val="Tahoma"/>
    </font>
    <font>
      <b/>
      <sz val="12.0"/>
      <color theme="4"/>
      <name val="Calibri"/>
    </font>
    <font>
      <color theme="7"/>
      <name val="Tahoma"/>
    </font>
    <font>
      <color theme="7"/>
      <name val="Arial"/>
      <scheme val="minor"/>
    </font>
    <font>
      <color theme="7"/>
      <name val="Arial"/>
    </font>
    <font>
      <b/>
      <color theme="9"/>
      <name val="Tahoma"/>
    </font>
    <font>
      <color theme="9"/>
      <name val="Tahoma"/>
    </font>
    <font>
      <color theme="9"/>
      <name val="Arial"/>
      <scheme val="minor"/>
    </font>
    <font>
      <color theme="9"/>
      <name val="Arial"/>
    </font>
    <font>
      <sz val="9.0"/>
      <color rgb="FF000000"/>
      <name val="&quot;Google Sans Mono&quot;"/>
    </font>
    <font>
      <b/>
      <sz val="9.0"/>
      <color rgb="FF000000"/>
      <name val="Tahoma"/>
    </font>
    <font>
      <b/>
      <color rgb="FF351C75"/>
      <name val="Tahoma"/>
    </font>
    <font>
      <color rgb="FF351C75"/>
      <name val="Tahoma"/>
    </font>
    <font>
      <color rgb="FF351C75"/>
      <name val="Arial"/>
      <scheme val="minor"/>
    </font>
    <font>
      <color rgb="FF351C75"/>
      <name val="Arial"/>
    </font>
    <font>
      <b/>
      <sz val="10.0"/>
      <color theme="1"/>
      <name val="Tahoma"/>
    </font>
    <font>
      <sz val="10.0"/>
      <color theme="1"/>
      <name val="Tahoma"/>
    </font>
    <font>
      <sz val="10.0"/>
      <color rgb="FF000000"/>
      <name val="Tahoma"/>
    </font>
    <font>
      <sz val="11.0"/>
      <color rgb="FF1F1F1F"/>
      <name val="&quot;Google Sans&quot;"/>
    </font>
    <font>
      <sz val="11.0"/>
      <color rgb="FF1F1F1F"/>
      <name val="Google Sans"/>
    </font>
    <font>
      <sz val="12.0"/>
      <color theme="1"/>
      <name val="Calibri"/>
    </font>
    <font>
      <b/>
      <sz val="12.0"/>
      <color theme="1"/>
      <name val="Calibri"/>
    </font>
    <font>
      <sz val="12.0"/>
      <color theme="1"/>
      <name val="Tahoma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1">
    <border/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1" numFmtId="0" xfId="0" applyFont="1"/>
    <xf borderId="0" fillId="0" fontId="9" numFmtId="0" xfId="0" applyAlignment="1" applyFont="1">
      <alignment shrinkToFit="0" vertical="bottom" wrapText="0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horizontal="right" readingOrder="0" vertical="bottom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1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0" fillId="0" fontId="21" numFmtId="0" xfId="0" applyAlignment="1" applyFont="1">
      <alignment horizontal="right" vertical="bottom"/>
    </xf>
    <xf borderId="0" fillId="0" fontId="24" numFmtId="0" xfId="0" applyAlignment="1" applyFont="1">
      <alignment horizontal="right" vertical="bottom"/>
    </xf>
    <xf borderId="0" fillId="0" fontId="25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4" numFmtId="0" xfId="0" applyAlignment="1" applyFont="1">
      <alignment horizontal="right" vertical="bottom"/>
    </xf>
    <xf borderId="0" fillId="0" fontId="27" numFmtId="0" xfId="0" applyAlignment="1" applyFont="1">
      <alignment vertical="bottom"/>
    </xf>
    <xf borderId="0" fillId="0" fontId="28" numFmtId="0" xfId="0" applyAlignment="1" applyFont="1">
      <alignment horizontal="right" vertical="bottom"/>
    </xf>
    <xf borderId="0" fillId="0" fontId="28" numFmtId="0" xfId="0" applyAlignment="1" applyFont="1">
      <alignment vertical="bottom"/>
    </xf>
    <xf borderId="0" fillId="0" fontId="25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29" numFmtId="0" xfId="0" applyAlignment="1" applyFont="1">
      <alignment vertical="bottom"/>
    </xf>
    <xf borderId="0" fillId="0" fontId="25" numFmtId="0" xfId="0" applyAlignment="1" applyFont="1">
      <alignment horizontal="right" vertical="bottom"/>
    </xf>
    <xf borderId="0" fillId="0" fontId="30" numFmtId="0" xfId="0" applyAlignment="1" applyFont="1">
      <alignment vertical="bottom"/>
    </xf>
    <xf borderId="0" fillId="0" fontId="30" numFmtId="0" xfId="0" applyAlignment="1" applyFont="1">
      <alignment horizontal="right" vertical="bottom"/>
    </xf>
    <xf borderId="0" fillId="0" fontId="27" numFmtId="0" xfId="0" applyAlignment="1" applyFont="1">
      <alignment horizontal="right" vertical="bottom"/>
    </xf>
    <xf borderId="0" fillId="0" fontId="31" numFmtId="0" xfId="0" applyAlignment="1" applyFont="1">
      <alignment vertical="bottom"/>
    </xf>
    <xf borderId="0" fillId="0" fontId="31" numFmtId="0" xfId="0" applyAlignment="1" applyFont="1">
      <alignment horizontal="right" vertical="bottom"/>
    </xf>
    <xf borderId="0" fillId="0" fontId="32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1" numFmtId="0" xfId="0" applyAlignment="1" applyFont="1">
      <alignment readingOrder="0" shrinkToFit="0" vertical="bottom" wrapText="0"/>
    </xf>
    <xf borderId="0" fillId="0" fontId="33" numFmtId="0" xfId="0" applyAlignment="1" applyFont="1">
      <alignment horizontal="right" readingOrder="0"/>
    </xf>
    <xf borderId="0" fillId="0" fontId="19" numFmtId="0" xfId="0" applyAlignment="1" applyFont="1">
      <alignment readingOrder="0" shrinkToFit="0" vertical="bottom" wrapText="0"/>
    </xf>
    <xf borderId="0" fillId="2" fontId="20" numFmtId="0" xfId="0" applyAlignment="1" applyFill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vertical="bottom"/>
    </xf>
    <xf borderId="0" fillId="0" fontId="36" numFmtId="0" xfId="0" applyAlignment="1" applyFont="1">
      <alignment readingOrder="0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37" numFmtId="0" xfId="0" applyAlignment="1" applyFont="1">
      <alignment readingOrder="0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readingOrder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readingOrder="0" shrinkToFit="0" vertical="bottom" wrapText="0"/>
    </xf>
    <xf borderId="0" fillId="0" fontId="27" numFmtId="0" xfId="0" applyAlignment="1" applyFont="1">
      <alignment horizontal="right"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38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39" numFmtId="0" xfId="0" applyAlignment="1" applyFont="1">
      <alignment horizontal="right" vertical="bottom"/>
    </xf>
    <xf borderId="0" fillId="0" fontId="39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38" numFmtId="0" xfId="0" applyAlignment="1" applyFont="1">
      <alignment vertical="bottom"/>
    </xf>
    <xf borderId="0" fillId="0" fontId="38" numFmtId="0" xfId="0" applyAlignment="1" applyFont="1">
      <alignment horizontal="right" vertical="bottom"/>
    </xf>
    <xf borderId="0" fillId="0" fontId="38" numFmtId="0" xfId="0" applyAlignment="1" applyFont="1">
      <alignment readingOrder="0" vertical="bottom"/>
    </xf>
    <xf borderId="0" fillId="0" fontId="38" numFmtId="0" xfId="0" applyAlignment="1" applyFont="1">
      <alignment horizontal="left" readingOrder="0" shrinkToFit="0" vertical="bottom" wrapText="0"/>
    </xf>
    <xf borderId="0" fillId="0" fontId="38" numFmtId="0" xfId="0" applyAlignment="1" applyFont="1">
      <alignment horizontal="right" readingOrder="0"/>
    </xf>
    <xf borderId="0" fillId="0" fontId="40" numFmtId="0" xfId="0" applyAlignment="1" applyFont="1">
      <alignment horizontal="right" readingOrder="0" shrinkToFit="0" vertical="bottom" wrapText="0"/>
    </xf>
    <xf borderId="0" fillId="0" fontId="40" numFmtId="0" xfId="0" applyAlignment="1" applyFont="1">
      <alignment readingOrder="0" shrinkToFit="0" vertical="bottom" wrapText="0"/>
    </xf>
    <xf borderId="0" fillId="0" fontId="40" numFmtId="0" xfId="0" applyAlignment="1" applyFont="1">
      <alignment readingOrder="0" shrinkToFit="0" vertical="bottom" wrapText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vertical="bottom"/>
    </xf>
    <xf borderId="0" fillId="0" fontId="24" numFmtId="0" xfId="0" applyAlignment="1" applyFont="1">
      <alignment readingOrder="0" shrinkToFit="0" vertical="bottom" wrapText="0"/>
    </xf>
    <xf borderId="0" fillId="0" fontId="24" numFmtId="0" xfId="0" applyAlignment="1" applyFont="1">
      <alignment horizontal="right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0" fillId="0" fontId="22" numFmtId="0" xfId="0" applyAlignment="1" applyFont="1">
      <alignment horizontal="right" readingOrder="0"/>
    </xf>
    <xf borderId="0" fillId="0" fontId="22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22" numFmtId="0" xfId="0" applyAlignment="1" applyFont="1">
      <alignment horizontal="left" readingOrder="0" shrinkToFit="0" vertical="bottom" wrapText="0"/>
    </xf>
    <xf borderId="0" fillId="0" fontId="43" numFmtId="0" xfId="0" applyAlignment="1" applyFont="1">
      <alignment readingOrder="0" shrinkToFit="0" vertical="bottom" wrapText="0"/>
    </xf>
    <xf borderId="0" fillId="0" fontId="44" numFmtId="0" xfId="0" applyAlignment="1" applyFont="1">
      <alignment horizontal="right" readingOrder="0" shrinkToFit="0" vertical="bottom" wrapText="0"/>
    </xf>
    <xf borderId="0" fillId="0" fontId="44" numFmtId="0" xfId="0" applyAlignment="1" applyFont="1">
      <alignment readingOrder="0" shrinkToFit="0" vertical="bottom" wrapText="0"/>
    </xf>
    <xf borderId="0" fillId="0" fontId="44" numFmtId="0" xfId="0" applyAlignment="1" applyFont="1">
      <alignment readingOrder="0" shrinkToFit="0" vertical="bottom" wrapText="0"/>
    </xf>
    <xf borderId="0" fillId="0" fontId="45" numFmtId="0" xfId="0" applyAlignment="1" applyFont="1">
      <alignment readingOrder="0"/>
    </xf>
    <xf borderId="0" fillId="0" fontId="46" numFmtId="0" xfId="0" applyAlignment="1" applyFont="1">
      <alignment vertical="bottom"/>
    </xf>
    <xf borderId="0" fillId="0" fontId="47" numFmtId="0" xfId="0" applyFont="1"/>
    <xf borderId="0" fillId="0" fontId="48" numFmtId="0" xfId="0" applyFont="1"/>
    <xf borderId="0" fillId="0" fontId="25" numFmtId="0" xfId="0" applyAlignment="1" applyFont="1">
      <alignment horizontal="left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0" fillId="0" fontId="43" numFmtId="0" xfId="0" applyAlignment="1" applyFont="1">
      <alignment horizontal="right" readingOrder="0" shrinkToFit="0" vertical="bottom" wrapText="0"/>
    </xf>
    <xf borderId="0" fillId="0" fontId="43" numFmtId="0" xfId="0" applyAlignment="1" applyFont="1">
      <alignment horizontal="right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0" fillId="0" fontId="25" numFmtId="0" xfId="0" applyAlignment="1" applyFont="1">
      <alignment horizontal="right" readingOrder="0"/>
    </xf>
    <xf borderId="0" fillId="0" fontId="25" numFmtId="0" xfId="0" applyAlignment="1" applyFont="1">
      <alignment readingOrder="0" vertical="bottom"/>
    </xf>
    <xf borderId="0" fillId="0" fontId="25" numFmtId="0" xfId="0" applyAlignment="1" applyFont="1">
      <alignment horizontal="right" shrinkToFit="0" vertical="bottom" wrapText="0"/>
    </xf>
    <xf borderId="0" fillId="0" fontId="49" numFmtId="0" xfId="0" applyAlignment="1" applyFont="1">
      <alignment readingOrder="0" shrinkToFit="0" vertical="bottom" wrapText="0"/>
    </xf>
    <xf borderId="0" fillId="0" fontId="50" numFmtId="0" xfId="0" applyAlignment="1" applyFont="1">
      <alignment horizontal="right" readingOrder="0" shrinkToFit="0" vertical="bottom" wrapText="0"/>
    </xf>
    <xf borderId="0" fillId="0" fontId="50" numFmtId="0" xfId="0" applyAlignment="1" applyFont="1">
      <alignment readingOrder="0" shrinkToFit="0" vertical="bottom" wrapText="0"/>
    </xf>
    <xf borderId="0" fillId="0" fontId="50" numFmtId="0" xfId="0" applyAlignment="1" applyFont="1">
      <alignment readingOrder="0" shrinkToFit="0" vertical="bottom" wrapText="0"/>
    </xf>
    <xf borderId="0" fillId="0" fontId="51" numFmtId="0" xfId="0" applyAlignment="1" applyFont="1">
      <alignment readingOrder="0"/>
    </xf>
    <xf borderId="0" fillId="0" fontId="52" numFmtId="0" xfId="0" applyAlignment="1" applyFont="1">
      <alignment vertical="bottom"/>
    </xf>
    <xf borderId="0" fillId="0" fontId="52" numFmtId="0" xfId="0" applyAlignment="1" applyFont="1">
      <alignment readingOrder="0" vertical="bottom"/>
    </xf>
    <xf borderId="0" fillId="0" fontId="49" numFmtId="0" xfId="0" applyAlignment="1" applyFont="1">
      <alignment horizontal="left" readingOrder="0" shrinkToFit="0" vertical="bottom" wrapText="0"/>
    </xf>
    <xf borderId="0" fillId="0" fontId="49" numFmtId="0" xfId="0" applyAlignment="1" applyFont="1">
      <alignment horizontal="right" readingOrder="0" shrinkToFit="0" vertical="bottom" wrapText="0"/>
    </xf>
    <xf borderId="0" fillId="0" fontId="49" numFmtId="0" xfId="0" applyAlignment="1" applyFont="1">
      <alignment horizontal="right" readingOrder="0" shrinkToFit="0" vertical="bottom" wrapText="0"/>
    </xf>
    <xf borderId="0" fillId="0" fontId="49" numFmtId="0" xfId="0" applyAlignment="1" applyFont="1">
      <alignment horizontal="left" readingOrder="0" shrinkToFit="0" vertical="bottom" wrapText="0"/>
    </xf>
    <xf borderId="0" fillId="0" fontId="49" numFmtId="0" xfId="0" applyAlignment="1" applyFont="1">
      <alignment vertical="bottom"/>
    </xf>
    <xf borderId="0" fillId="0" fontId="36" numFmtId="0" xfId="0" applyAlignment="1" applyFont="1">
      <alignment readingOrder="0" shrinkToFit="0" vertical="bottom" wrapText="0"/>
    </xf>
    <xf borderId="0" fillId="0" fontId="49" numFmtId="0" xfId="0" applyAlignment="1" applyFont="1">
      <alignment horizontal="right" readingOrder="0"/>
    </xf>
    <xf borderId="0" fillId="0" fontId="49" numFmtId="0" xfId="0" applyAlignment="1" applyFont="1">
      <alignment horizontal="right" vertical="bottom"/>
    </xf>
    <xf borderId="0" fillId="0" fontId="27" numFmtId="0" xfId="0" applyAlignment="1" applyFont="1">
      <alignment readingOrder="0" vertical="bottom"/>
    </xf>
    <xf borderId="0" fillId="0" fontId="2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35" numFmtId="0" xfId="0" applyAlignment="1" applyFont="1">
      <alignment vertical="bottom"/>
    </xf>
    <xf borderId="0" fillId="0" fontId="53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19" numFmtId="0" xfId="0" applyAlignment="1" applyFont="1">
      <alignment vertical="bottom"/>
    </xf>
    <xf borderId="0" fillId="0" fontId="54" numFmtId="0" xfId="0" applyFont="1"/>
    <xf borderId="0" fillId="0" fontId="55" numFmtId="0" xfId="0" applyFont="1"/>
    <xf borderId="0" fillId="0" fontId="55" numFmtId="0" xfId="0" applyAlignment="1" applyFont="1">
      <alignment vertical="bottom"/>
    </xf>
    <xf borderId="0" fillId="0" fontId="55" numFmtId="0" xfId="0" applyFont="1"/>
    <xf borderId="0" fillId="0" fontId="21" numFmtId="0" xfId="0" applyFont="1"/>
    <xf borderId="0" fillId="0" fontId="36" numFmtId="0" xfId="0" applyAlignment="1" applyFont="1">
      <alignment horizontal="right" vertical="bottom"/>
    </xf>
    <xf borderId="0" fillId="0" fontId="36" numFmtId="0" xfId="0" applyAlignment="1" applyFont="1">
      <alignment horizontal="right" readingOrder="0" vertical="bottom"/>
    </xf>
    <xf borderId="0" fillId="0" fontId="54" numFmtId="0" xfId="0" applyAlignment="1" applyFont="1">
      <alignment readingOrder="0"/>
    </xf>
    <xf borderId="0" fillId="0" fontId="55" numFmtId="0" xfId="0" applyAlignment="1" applyFont="1">
      <alignment readingOrder="0" vertical="bottom"/>
    </xf>
    <xf borderId="0" fillId="0" fontId="55" numFmtId="0" xfId="0" applyAlignment="1" applyFont="1">
      <alignment readingOrder="0"/>
    </xf>
    <xf borderId="0" fillId="0" fontId="36" numFmtId="0" xfId="0" applyAlignment="1" applyFont="1">
      <alignment horizontal="right" readingOrder="0" vertical="bottom"/>
    </xf>
    <xf borderId="0" fillId="0" fontId="54" numFmtId="0" xfId="0" applyFont="1"/>
    <xf borderId="0" fillId="0" fontId="36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19" numFmtId="0" xfId="0" applyAlignment="1" applyFont="1">
      <alignment horizontal="right" vertical="bottom"/>
    </xf>
    <xf borderId="0" fillId="0" fontId="31" numFmtId="0" xfId="0" applyAlignment="1" applyFont="1">
      <alignment vertical="bottom"/>
    </xf>
    <xf borderId="0" fillId="0" fontId="53" numFmtId="0" xfId="0" applyAlignment="1" applyFont="1">
      <alignment vertical="bottom"/>
    </xf>
    <xf borderId="0" fillId="2" fontId="56" numFmtId="0" xfId="0" applyAlignment="1" applyFont="1">
      <alignment readingOrder="0"/>
    </xf>
    <xf borderId="0" fillId="2" fontId="57" numFmtId="0" xfId="0" applyAlignment="1" applyFont="1">
      <alignment vertical="bottom"/>
    </xf>
    <xf borderId="0" fillId="0" fontId="53" numFmtId="0" xfId="0" applyFont="1"/>
    <xf borderId="0" fillId="0" fontId="53" numFmtId="0" xfId="0" applyAlignment="1" applyFont="1">
      <alignment horizontal="right" vertical="bottom"/>
    </xf>
    <xf borderId="0" fillId="2" fontId="57" numFmtId="0" xfId="0" applyAlignment="1" applyFont="1">
      <alignment shrinkToFit="0" vertical="bottom" wrapText="0"/>
    </xf>
    <xf borderId="0" fillId="0" fontId="19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9" numFmtId="0" xfId="0" applyFont="1"/>
    <xf borderId="0" fillId="0" fontId="21" numFmtId="0" xfId="0" applyAlignment="1" applyFont="1">
      <alignment readingOrder="0"/>
    </xf>
    <xf borderId="0" fillId="0" fontId="31" numFmtId="0" xfId="0" applyAlignment="1" applyFont="1">
      <alignment horizontal="right" readingOrder="0" vertical="bottom"/>
    </xf>
    <xf borderId="0" fillId="0" fontId="31" numFmtId="0" xfId="0" applyAlignment="1" applyFont="1">
      <alignment readingOrder="0" vertical="bottom"/>
    </xf>
    <xf borderId="0" fillId="0" fontId="38" numFmtId="0" xfId="0" applyAlignment="1" applyFont="1">
      <alignment readingOrder="0"/>
    </xf>
    <xf borderId="0" fillId="0" fontId="38" numFmtId="0" xfId="0" applyFont="1"/>
    <xf borderId="0" fillId="0" fontId="31" numFmtId="0" xfId="0" applyFont="1"/>
    <xf borderId="0" fillId="0" fontId="9" numFmtId="0" xfId="0" applyAlignment="1" applyFont="1">
      <alignment readingOrder="0"/>
    </xf>
    <xf borderId="0" fillId="0" fontId="9" numFmtId="0" xfId="0" applyFont="1"/>
    <xf borderId="0" fillId="0" fontId="12" numFmtId="0" xfId="0" applyAlignment="1" applyFont="1">
      <alignment readingOrder="0"/>
    </xf>
    <xf borderId="0" fillId="2" fontId="58" numFmtId="0" xfId="0" applyAlignment="1" applyFont="1">
      <alignment vertical="bottom"/>
    </xf>
    <xf borderId="0" fillId="3" fontId="58" numFmtId="0" xfId="0" applyAlignment="1" applyFill="1" applyFont="1">
      <alignment horizontal="right" vertical="bottom"/>
    </xf>
    <xf borderId="0" fillId="3" fontId="58" numFmtId="0" xfId="0" applyAlignment="1" applyFont="1">
      <alignment vertical="bottom"/>
    </xf>
    <xf borderId="0" fillId="4" fontId="58" numFmtId="0" xfId="0" applyAlignment="1" applyFill="1" applyFont="1">
      <alignment horizontal="right" vertical="bottom"/>
    </xf>
    <xf borderId="0" fillId="4" fontId="58" numFmtId="0" xfId="0" applyAlignment="1" applyFont="1">
      <alignment vertical="bottom"/>
    </xf>
    <xf borderId="0" fillId="0" fontId="59" numFmtId="0" xfId="0" applyAlignment="1" applyFont="1">
      <alignment vertical="bottom"/>
    </xf>
    <xf borderId="0" fillId="0" fontId="59" numFmtId="0" xfId="0" applyAlignment="1" applyFont="1">
      <alignment readingOrder="0" vertical="bottom"/>
    </xf>
    <xf borderId="0" fillId="0" fontId="59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58" numFmtId="0" xfId="0" applyAlignment="1" applyFont="1">
      <alignment vertical="bottom"/>
    </xf>
    <xf borderId="0" fillId="0" fontId="60" numFmtId="0" xfId="0" applyAlignment="1" applyFont="1">
      <alignment horizontal="right" vertical="bottom"/>
    </xf>
    <xf borderId="0" fillId="0" fontId="61" numFmtId="0" xfId="0" applyAlignment="1" applyFont="1">
      <alignment horizontal="right" vertical="bottom"/>
    </xf>
    <xf borderId="0" fillId="0" fontId="2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8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13</v>
      </c>
      <c r="AD1" s="1" t="s">
        <v>26</v>
      </c>
      <c r="AE1" s="1" t="s">
        <v>27</v>
      </c>
      <c r="AF1" s="1" t="s">
        <v>28</v>
      </c>
      <c r="AG1" s="1" t="s">
        <v>29</v>
      </c>
    </row>
    <row r="2">
      <c r="A2" s="2" t="s">
        <v>30</v>
      </c>
      <c r="D2" s="3" t="s">
        <v>31</v>
      </c>
      <c r="E2" s="4" t="s">
        <v>31</v>
      </c>
      <c r="F2" s="5"/>
    </row>
    <row r="3">
      <c r="A3" s="2" t="s">
        <v>32</v>
      </c>
      <c r="D3" s="3" t="s">
        <v>31</v>
      </c>
      <c r="E3" s="4" t="s">
        <v>33</v>
      </c>
      <c r="F3" s="5"/>
    </row>
    <row r="4">
      <c r="A4" s="2" t="s">
        <v>34</v>
      </c>
      <c r="D4" s="3" t="s">
        <v>31</v>
      </c>
      <c r="E4" s="4" t="s">
        <v>33</v>
      </c>
      <c r="F4" s="5"/>
    </row>
    <row r="5">
      <c r="A5" s="2" t="s">
        <v>35</v>
      </c>
      <c r="D5" s="3" t="s">
        <v>33</v>
      </c>
      <c r="E5" s="4" t="s">
        <v>33</v>
      </c>
      <c r="F5" s="5"/>
    </row>
    <row r="6">
      <c r="A6" s="2" t="s">
        <v>36</v>
      </c>
      <c r="D6" s="3" t="s">
        <v>33</v>
      </c>
      <c r="E6" s="4" t="s">
        <v>33</v>
      </c>
      <c r="F6" s="5"/>
    </row>
    <row r="7">
      <c r="A7" s="2" t="s">
        <v>37</v>
      </c>
      <c r="D7" s="3" t="s">
        <v>33</v>
      </c>
      <c r="E7" s="4" t="s">
        <v>33</v>
      </c>
      <c r="F7" s="5"/>
    </row>
    <row r="8">
      <c r="A8" s="2" t="s">
        <v>38</v>
      </c>
      <c r="D8" s="3" t="s">
        <v>33</v>
      </c>
      <c r="E8" s="4" t="s">
        <v>33</v>
      </c>
      <c r="F8" s="5"/>
    </row>
    <row r="9">
      <c r="A9" s="2" t="s">
        <v>39</v>
      </c>
      <c r="D9" s="3" t="s">
        <v>31</v>
      </c>
      <c r="E9" s="4" t="s">
        <v>33</v>
      </c>
      <c r="F9" s="5"/>
    </row>
    <row r="10">
      <c r="A10" s="2" t="s">
        <v>40</v>
      </c>
      <c r="D10" s="3" t="s">
        <v>31</v>
      </c>
      <c r="E10" s="4" t="s">
        <v>33</v>
      </c>
      <c r="F10" s="5"/>
    </row>
    <row r="11">
      <c r="A11" s="2" t="s">
        <v>41</v>
      </c>
      <c r="D11" s="3" t="s">
        <v>31</v>
      </c>
      <c r="E11" s="4" t="s">
        <v>31</v>
      </c>
      <c r="F11" s="5"/>
    </row>
    <row r="12">
      <c r="A12" s="2" t="s">
        <v>42</v>
      </c>
      <c r="D12" s="3" t="s">
        <v>33</v>
      </c>
      <c r="E12" s="4" t="s">
        <v>33</v>
      </c>
      <c r="F12" s="5"/>
    </row>
    <row r="13">
      <c r="A13" s="2" t="s">
        <v>43</v>
      </c>
      <c r="D13" s="3" t="s">
        <v>31</v>
      </c>
      <c r="E13" s="4" t="s">
        <v>31</v>
      </c>
      <c r="F13" s="5"/>
    </row>
    <row r="14">
      <c r="A14" s="2" t="s">
        <v>30</v>
      </c>
      <c r="D14" s="3" t="s">
        <v>33</v>
      </c>
      <c r="E14" s="3" t="s">
        <v>33</v>
      </c>
      <c r="F14" s="6"/>
    </row>
    <row r="15">
      <c r="A15" s="2" t="s">
        <v>32</v>
      </c>
      <c r="D15" s="3" t="s">
        <v>33</v>
      </c>
      <c r="E15" s="7" t="s">
        <v>31</v>
      </c>
    </row>
    <row r="16">
      <c r="A16" s="2" t="s">
        <v>34</v>
      </c>
      <c r="B16" s="8"/>
      <c r="C16" s="8"/>
      <c r="D16" s="9" t="s">
        <v>31</v>
      </c>
      <c r="E16" s="7" t="s">
        <v>33</v>
      </c>
      <c r="F16" s="8"/>
      <c r="G16" s="8"/>
      <c r="H16" s="8"/>
      <c r="I16" s="8"/>
      <c r="J16" s="8"/>
      <c r="K16" s="8"/>
      <c r="L16" s="8"/>
      <c r="M16" s="8"/>
      <c r="N16" s="8"/>
      <c r="O16" s="8"/>
    </row>
    <row r="17">
      <c r="A17" s="2" t="s">
        <v>35</v>
      </c>
      <c r="D17" s="3" t="s">
        <v>33</v>
      </c>
      <c r="E17" s="7" t="s">
        <v>33</v>
      </c>
    </row>
    <row r="18">
      <c r="A18" s="2" t="s">
        <v>36</v>
      </c>
      <c r="D18" s="3" t="s">
        <v>33</v>
      </c>
      <c r="E18" s="7" t="s">
        <v>33</v>
      </c>
    </row>
    <row r="19">
      <c r="A19" s="2" t="s">
        <v>37</v>
      </c>
      <c r="D19" s="3" t="s">
        <v>33</v>
      </c>
      <c r="E19" s="7" t="s">
        <v>33</v>
      </c>
    </row>
    <row r="20">
      <c r="A20" s="2" t="s">
        <v>38</v>
      </c>
      <c r="D20" s="3" t="s">
        <v>31</v>
      </c>
      <c r="E20" s="7" t="s">
        <v>33</v>
      </c>
    </row>
    <row r="21">
      <c r="A21" s="2" t="s">
        <v>39</v>
      </c>
      <c r="D21" s="3" t="s">
        <v>33</v>
      </c>
      <c r="E21" s="7" t="s">
        <v>33</v>
      </c>
    </row>
    <row r="22">
      <c r="A22" s="2" t="s">
        <v>40</v>
      </c>
      <c r="D22" s="3" t="s">
        <v>33</v>
      </c>
      <c r="E22" s="7" t="s">
        <v>31</v>
      </c>
    </row>
    <row r="23">
      <c r="A23" s="2" t="s">
        <v>41</v>
      </c>
      <c r="D23" s="3" t="s">
        <v>33</v>
      </c>
      <c r="E23" s="7" t="s">
        <v>31</v>
      </c>
    </row>
    <row r="24">
      <c r="A24" s="2" t="s">
        <v>42</v>
      </c>
      <c r="D24" s="3" t="s">
        <v>33</v>
      </c>
      <c r="E24" s="7" t="s">
        <v>33</v>
      </c>
    </row>
    <row r="25">
      <c r="A25" s="2" t="s">
        <v>43</v>
      </c>
      <c r="D25" s="3" t="s">
        <v>31</v>
      </c>
      <c r="E25" s="7" t="s">
        <v>31</v>
      </c>
    </row>
    <row r="26">
      <c r="A26" s="2" t="s">
        <v>30</v>
      </c>
      <c r="D26" s="10"/>
      <c r="E26" s="11" t="s">
        <v>31</v>
      </c>
    </row>
    <row r="27">
      <c r="A27" s="2" t="s">
        <v>32</v>
      </c>
      <c r="D27" s="10"/>
      <c r="E27" s="11" t="s">
        <v>33</v>
      </c>
    </row>
    <row r="28">
      <c r="A28" s="2" t="s">
        <v>34</v>
      </c>
      <c r="D28" s="10"/>
      <c r="E28" s="12" t="s">
        <v>33</v>
      </c>
    </row>
    <row r="29">
      <c r="A29" s="2" t="s">
        <v>35</v>
      </c>
      <c r="D29" s="10"/>
      <c r="E29" s="12" t="s">
        <v>31</v>
      </c>
    </row>
    <row r="30">
      <c r="A30" s="2" t="s">
        <v>36</v>
      </c>
      <c r="D30" s="10"/>
      <c r="E30" s="12" t="s">
        <v>33</v>
      </c>
    </row>
    <row r="31">
      <c r="A31" s="2" t="s">
        <v>37</v>
      </c>
      <c r="D31" s="10"/>
      <c r="E31" s="12" t="s">
        <v>33</v>
      </c>
    </row>
    <row r="32">
      <c r="A32" s="2" t="s">
        <v>38</v>
      </c>
      <c r="D32" s="10"/>
      <c r="E32" s="12" t="s">
        <v>33</v>
      </c>
    </row>
    <row r="33">
      <c r="A33" s="2" t="s">
        <v>39</v>
      </c>
      <c r="D33" s="10"/>
      <c r="E33" s="12" t="s">
        <v>33</v>
      </c>
    </row>
    <row r="34">
      <c r="A34" s="2" t="s">
        <v>40</v>
      </c>
      <c r="D34" s="10"/>
      <c r="E34" s="12" t="s">
        <v>33</v>
      </c>
    </row>
    <row r="35">
      <c r="A35" s="2" t="s">
        <v>41</v>
      </c>
      <c r="D35" s="10"/>
      <c r="E35" s="12" t="s">
        <v>31</v>
      </c>
    </row>
    <row r="36">
      <c r="A36" s="2" t="s">
        <v>42</v>
      </c>
      <c r="D36" s="10"/>
      <c r="E36" s="12" t="s">
        <v>33</v>
      </c>
    </row>
    <row r="37">
      <c r="A37" s="2" t="s">
        <v>43</v>
      </c>
      <c r="D37" s="10"/>
      <c r="E37" s="12" t="s">
        <v>33</v>
      </c>
    </row>
    <row r="38">
      <c r="A38" s="2" t="s">
        <v>30</v>
      </c>
      <c r="D38" s="10"/>
      <c r="E38" s="13" t="s">
        <v>31</v>
      </c>
    </row>
    <row r="39">
      <c r="A39" s="2" t="s">
        <v>32</v>
      </c>
      <c r="D39" s="10"/>
      <c r="E39" s="13" t="s">
        <v>33</v>
      </c>
    </row>
    <row r="40">
      <c r="A40" s="2" t="s">
        <v>34</v>
      </c>
      <c r="D40" s="10"/>
      <c r="E40" s="13" t="s">
        <v>33</v>
      </c>
    </row>
    <row r="41">
      <c r="A41" s="2" t="s">
        <v>35</v>
      </c>
      <c r="D41" s="10"/>
      <c r="E41" s="13" t="s">
        <v>31</v>
      </c>
    </row>
    <row r="42">
      <c r="A42" s="2" t="s">
        <v>36</v>
      </c>
      <c r="D42" s="10"/>
      <c r="E42" s="13" t="s">
        <v>33</v>
      </c>
    </row>
    <row r="43">
      <c r="A43" s="2" t="s">
        <v>37</v>
      </c>
      <c r="D43" s="10"/>
      <c r="E43" s="13" t="s">
        <v>33</v>
      </c>
    </row>
    <row r="44">
      <c r="A44" s="2" t="s">
        <v>38</v>
      </c>
      <c r="D44" s="10"/>
      <c r="E44" s="13" t="s">
        <v>33</v>
      </c>
    </row>
    <row r="45">
      <c r="A45" s="2" t="s">
        <v>39</v>
      </c>
      <c r="D45" s="10"/>
      <c r="E45" s="13" t="s">
        <v>31</v>
      </c>
    </row>
    <row r="46">
      <c r="A46" s="2" t="s">
        <v>40</v>
      </c>
      <c r="D46" s="10"/>
      <c r="E46" s="13" t="s">
        <v>33</v>
      </c>
    </row>
    <row r="47">
      <c r="A47" s="2" t="s">
        <v>41</v>
      </c>
      <c r="D47" s="10"/>
      <c r="E47" s="13" t="s">
        <v>33</v>
      </c>
    </row>
    <row r="48">
      <c r="A48" s="2" t="s">
        <v>42</v>
      </c>
      <c r="D48" s="10"/>
      <c r="E48" s="13" t="s">
        <v>33</v>
      </c>
    </row>
    <row r="49">
      <c r="A49" s="2" t="s">
        <v>43</v>
      </c>
      <c r="D49" s="10"/>
      <c r="E49" s="13" t="s">
        <v>33</v>
      </c>
    </row>
    <row r="50">
      <c r="A50" s="2" t="s">
        <v>30</v>
      </c>
      <c r="E50" s="14" t="s">
        <v>33</v>
      </c>
    </row>
    <row r="51">
      <c r="A51" s="2" t="s">
        <v>32</v>
      </c>
      <c r="E51" s="14" t="s">
        <v>31</v>
      </c>
    </row>
    <row r="52">
      <c r="A52" s="2" t="s">
        <v>34</v>
      </c>
      <c r="E52" s="14" t="s">
        <v>33</v>
      </c>
    </row>
    <row r="53">
      <c r="A53" s="2" t="s">
        <v>35</v>
      </c>
      <c r="E53" s="14" t="s">
        <v>31</v>
      </c>
    </row>
    <row r="54">
      <c r="A54" s="2" t="s">
        <v>36</v>
      </c>
      <c r="E54" s="14" t="s">
        <v>31</v>
      </c>
    </row>
    <row r="55">
      <c r="A55" s="2" t="s">
        <v>37</v>
      </c>
      <c r="E55" s="14" t="s">
        <v>33</v>
      </c>
    </row>
    <row r="56">
      <c r="A56" s="2" t="s">
        <v>38</v>
      </c>
      <c r="E56" s="14" t="s">
        <v>31</v>
      </c>
    </row>
    <row r="57">
      <c r="A57" s="2" t="s">
        <v>39</v>
      </c>
      <c r="E57" s="14" t="s">
        <v>33</v>
      </c>
    </row>
    <row r="58">
      <c r="A58" s="2" t="s">
        <v>40</v>
      </c>
      <c r="E58" s="14" t="s">
        <v>33</v>
      </c>
    </row>
    <row r="59">
      <c r="A59" s="2" t="s">
        <v>41</v>
      </c>
      <c r="E59" s="14" t="s">
        <v>31</v>
      </c>
    </row>
    <row r="60">
      <c r="A60" s="2" t="s">
        <v>42</v>
      </c>
      <c r="E60" s="14" t="s">
        <v>33</v>
      </c>
    </row>
    <row r="61">
      <c r="A61" s="2" t="s">
        <v>43</v>
      </c>
      <c r="E61" s="14" t="s">
        <v>33</v>
      </c>
    </row>
    <row r="62">
      <c r="A62" s="2" t="s">
        <v>30</v>
      </c>
      <c r="E62" s="14" t="s">
        <v>31</v>
      </c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3" max="3" width="26.75"/>
    <col customWidth="1" min="19" max="19" width="26.75"/>
  </cols>
  <sheetData>
    <row r="1">
      <c r="A1" s="2"/>
      <c r="B1" s="15"/>
      <c r="C1" s="15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56</v>
      </c>
      <c r="P1" s="2" t="s">
        <v>57</v>
      </c>
      <c r="Q1" s="2" t="s">
        <v>58</v>
      </c>
      <c r="R1" s="2" t="s">
        <v>59</v>
      </c>
      <c r="S1" s="15" t="s">
        <v>44</v>
      </c>
      <c r="T1" s="2" t="s">
        <v>60</v>
      </c>
      <c r="U1" s="2" t="s">
        <v>61</v>
      </c>
      <c r="V1" s="2" t="s">
        <v>62</v>
      </c>
      <c r="W1" s="2" t="s">
        <v>63</v>
      </c>
      <c r="X1" s="2" t="s">
        <v>64</v>
      </c>
      <c r="Y1" s="2" t="s">
        <v>65</v>
      </c>
      <c r="Z1" s="2" t="s">
        <v>66</v>
      </c>
      <c r="AA1" s="2" t="s">
        <v>67</v>
      </c>
      <c r="AB1" s="2" t="s">
        <v>68</v>
      </c>
      <c r="AC1" s="2" t="s">
        <v>69</v>
      </c>
      <c r="AD1" s="2" t="s">
        <v>70</v>
      </c>
      <c r="AE1" s="2" t="s">
        <v>71</v>
      </c>
      <c r="AF1" s="2" t="s">
        <v>72</v>
      </c>
      <c r="AG1" s="2" t="s">
        <v>73</v>
      </c>
      <c r="AH1" s="2" t="s">
        <v>74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>
      <c r="A2" s="16" t="s">
        <v>30</v>
      </c>
      <c r="B2" s="17">
        <v>1.0</v>
      </c>
      <c r="C2" s="17">
        <v>2.0</v>
      </c>
      <c r="D2" s="16" t="s">
        <v>75</v>
      </c>
      <c r="E2" s="16" t="s">
        <v>76</v>
      </c>
      <c r="F2" s="16" t="s">
        <v>77</v>
      </c>
      <c r="G2" s="16" t="s">
        <v>78</v>
      </c>
      <c r="H2" s="16" t="s">
        <v>77</v>
      </c>
      <c r="I2" s="16" t="s">
        <v>79</v>
      </c>
      <c r="J2" s="16" t="s">
        <v>77</v>
      </c>
      <c r="K2" s="16" t="s">
        <v>78</v>
      </c>
      <c r="L2" s="16" t="s">
        <v>76</v>
      </c>
      <c r="M2" s="16" t="s">
        <v>79</v>
      </c>
      <c r="N2" s="16" t="s">
        <v>76</v>
      </c>
      <c r="O2" s="16" t="s">
        <v>75</v>
      </c>
      <c r="P2" s="16" t="s">
        <v>79</v>
      </c>
      <c r="Q2" s="16" t="s">
        <v>77</v>
      </c>
      <c r="R2" s="16" t="s">
        <v>76</v>
      </c>
      <c r="S2" s="17">
        <v>2.0</v>
      </c>
      <c r="T2" s="16" t="s">
        <v>77</v>
      </c>
      <c r="U2" s="16" t="s">
        <v>79</v>
      </c>
      <c r="V2" s="16" t="s">
        <v>75</v>
      </c>
      <c r="W2" s="16" t="s">
        <v>75</v>
      </c>
      <c r="X2" s="16" t="s">
        <v>78</v>
      </c>
      <c r="Y2" s="16" t="s">
        <v>79</v>
      </c>
      <c r="Z2" s="16" t="s">
        <v>77</v>
      </c>
      <c r="AA2" s="16" t="s">
        <v>79</v>
      </c>
      <c r="AB2" s="16" t="s">
        <v>77</v>
      </c>
      <c r="AC2" s="16" t="s">
        <v>78</v>
      </c>
      <c r="AD2" s="16" t="s">
        <v>79</v>
      </c>
      <c r="AE2" s="16" t="s">
        <v>75</v>
      </c>
      <c r="AF2" s="16" t="s">
        <v>78</v>
      </c>
      <c r="AG2" s="16" t="s">
        <v>78</v>
      </c>
      <c r="AH2" s="16" t="s">
        <v>77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>
      <c r="A3" s="16" t="s">
        <v>32</v>
      </c>
      <c r="B3" s="17">
        <v>1.0</v>
      </c>
      <c r="C3" s="17">
        <v>2.0</v>
      </c>
      <c r="D3" s="16" t="s">
        <v>76</v>
      </c>
      <c r="E3" s="16" t="s">
        <v>75</v>
      </c>
      <c r="F3" s="16" t="s">
        <v>77</v>
      </c>
      <c r="G3" s="16" t="s">
        <v>78</v>
      </c>
      <c r="H3" s="16" t="s">
        <v>77</v>
      </c>
      <c r="I3" s="16" t="s">
        <v>77</v>
      </c>
      <c r="J3" s="16" t="s">
        <v>79</v>
      </c>
      <c r="K3" s="16" t="s">
        <v>78</v>
      </c>
      <c r="L3" s="16" t="s">
        <v>75</v>
      </c>
      <c r="M3" s="16" t="s">
        <v>79</v>
      </c>
      <c r="N3" s="16" t="s">
        <v>76</v>
      </c>
      <c r="O3" s="16" t="s">
        <v>77</v>
      </c>
      <c r="P3" s="16" t="s">
        <v>76</v>
      </c>
      <c r="Q3" s="16" t="s">
        <v>79</v>
      </c>
      <c r="R3" s="16" t="s">
        <v>76</v>
      </c>
      <c r="S3" s="17">
        <v>2.0</v>
      </c>
      <c r="T3" s="16" t="s">
        <v>78</v>
      </c>
      <c r="U3" s="16" t="s">
        <v>78</v>
      </c>
      <c r="V3" s="16" t="s">
        <v>76</v>
      </c>
      <c r="W3" s="16" t="s">
        <v>76</v>
      </c>
      <c r="X3" s="16" t="s">
        <v>79</v>
      </c>
      <c r="Y3" s="16" t="s">
        <v>77</v>
      </c>
      <c r="Z3" s="16" t="s">
        <v>77</v>
      </c>
      <c r="AA3" s="16" t="s">
        <v>76</v>
      </c>
      <c r="AB3" s="16" t="s">
        <v>79</v>
      </c>
      <c r="AC3" s="16" t="s">
        <v>75</v>
      </c>
      <c r="AD3" s="16" t="s">
        <v>77</v>
      </c>
      <c r="AE3" s="16" t="s">
        <v>76</v>
      </c>
      <c r="AF3" s="16" t="s">
        <v>77</v>
      </c>
      <c r="AG3" s="16" t="s">
        <v>78</v>
      </c>
      <c r="AH3" s="16" t="s">
        <v>77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>
      <c r="A4" s="16" t="s">
        <v>34</v>
      </c>
      <c r="B4" s="17">
        <v>1.0</v>
      </c>
      <c r="C4" s="17">
        <v>2.0</v>
      </c>
      <c r="D4" s="16" t="s">
        <v>75</v>
      </c>
      <c r="E4" s="16" t="s">
        <v>76</v>
      </c>
      <c r="F4" s="16" t="s">
        <v>77</v>
      </c>
      <c r="G4" s="16" t="s">
        <v>79</v>
      </c>
      <c r="H4" s="16" t="s">
        <v>77</v>
      </c>
      <c r="I4" s="16" t="s">
        <v>78</v>
      </c>
      <c r="J4" s="16" t="s">
        <v>77</v>
      </c>
      <c r="K4" s="16" t="s">
        <v>78</v>
      </c>
      <c r="L4" s="16" t="s">
        <v>79</v>
      </c>
      <c r="M4" s="16" t="s">
        <v>77</v>
      </c>
      <c r="N4" s="16" t="s">
        <v>76</v>
      </c>
      <c r="O4" s="16" t="s">
        <v>78</v>
      </c>
      <c r="P4" s="16" t="s">
        <v>75</v>
      </c>
      <c r="Q4" s="16" t="s">
        <v>75</v>
      </c>
      <c r="R4" s="16" t="s">
        <v>76</v>
      </c>
      <c r="S4" s="17">
        <v>2.0</v>
      </c>
      <c r="T4" s="16" t="s">
        <v>79</v>
      </c>
      <c r="U4" s="16" t="s">
        <v>78</v>
      </c>
      <c r="V4" s="16" t="s">
        <v>76</v>
      </c>
      <c r="W4" s="16" t="s">
        <v>75</v>
      </c>
      <c r="X4" s="16" t="s">
        <v>78</v>
      </c>
      <c r="Y4" s="16" t="s">
        <v>77</v>
      </c>
      <c r="Z4" s="16" t="s">
        <v>77</v>
      </c>
      <c r="AA4" s="16" t="s">
        <v>78</v>
      </c>
      <c r="AB4" s="16" t="s">
        <v>77</v>
      </c>
      <c r="AC4" s="16" t="s">
        <v>75</v>
      </c>
      <c r="AD4" s="16" t="s">
        <v>77</v>
      </c>
      <c r="AE4" s="16" t="s">
        <v>79</v>
      </c>
      <c r="AF4" s="16" t="s">
        <v>79</v>
      </c>
      <c r="AG4" s="16" t="s">
        <v>75</v>
      </c>
      <c r="AH4" s="16" t="s">
        <v>79</v>
      </c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>
      <c r="A5" s="16" t="s">
        <v>35</v>
      </c>
      <c r="B5" s="17">
        <v>1.0</v>
      </c>
      <c r="C5" s="17">
        <v>2.0</v>
      </c>
      <c r="D5" s="16" t="s">
        <v>78</v>
      </c>
      <c r="E5" s="16" t="s">
        <v>78</v>
      </c>
      <c r="F5" s="16" t="s">
        <v>77</v>
      </c>
      <c r="G5" s="16" t="s">
        <v>75</v>
      </c>
      <c r="H5" s="16" t="s">
        <v>76</v>
      </c>
      <c r="I5" s="16" t="s">
        <v>77</v>
      </c>
      <c r="J5" s="16" t="s">
        <v>75</v>
      </c>
      <c r="K5" s="16" t="s">
        <v>79</v>
      </c>
      <c r="L5" s="16" t="s">
        <v>76</v>
      </c>
      <c r="M5" s="16" t="s">
        <v>79</v>
      </c>
      <c r="N5" s="16" t="s">
        <v>76</v>
      </c>
      <c r="O5" s="16" t="s">
        <v>77</v>
      </c>
      <c r="P5" s="16" t="s">
        <v>78</v>
      </c>
      <c r="Q5" s="16" t="s">
        <v>79</v>
      </c>
      <c r="R5" s="16" t="s">
        <v>75</v>
      </c>
      <c r="S5" s="17">
        <v>2.0</v>
      </c>
      <c r="T5" s="16" t="s">
        <v>77</v>
      </c>
      <c r="U5" s="16" t="s">
        <v>77</v>
      </c>
      <c r="V5" s="16" t="s">
        <v>79</v>
      </c>
      <c r="W5" s="16" t="s">
        <v>79</v>
      </c>
      <c r="X5" s="16" t="s">
        <v>77</v>
      </c>
      <c r="Y5" s="16" t="s">
        <v>76</v>
      </c>
      <c r="Z5" s="16" t="s">
        <v>77</v>
      </c>
      <c r="AA5" s="16" t="s">
        <v>76</v>
      </c>
      <c r="AB5" s="16" t="s">
        <v>77</v>
      </c>
      <c r="AC5" s="16" t="s">
        <v>78</v>
      </c>
      <c r="AD5" s="16" t="s">
        <v>77</v>
      </c>
      <c r="AE5" s="16" t="s">
        <v>75</v>
      </c>
      <c r="AF5" s="16" t="s">
        <v>77</v>
      </c>
      <c r="AG5" s="16" t="s">
        <v>77</v>
      </c>
      <c r="AH5" s="16" t="s">
        <v>77</v>
      </c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>
      <c r="A6" s="16" t="s">
        <v>36</v>
      </c>
      <c r="B6" s="17">
        <v>1.0</v>
      </c>
      <c r="C6" s="17">
        <v>2.0</v>
      </c>
      <c r="D6" s="16" t="s">
        <v>76</v>
      </c>
      <c r="E6" s="16" t="s">
        <v>75</v>
      </c>
      <c r="F6" s="16" t="s">
        <v>77</v>
      </c>
      <c r="G6" s="16" t="s">
        <v>75</v>
      </c>
      <c r="H6" s="16" t="s">
        <v>79</v>
      </c>
      <c r="I6" s="16" t="s">
        <v>77</v>
      </c>
      <c r="J6" s="16" t="s">
        <v>79</v>
      </c>
      <c r="K6" s="16" t="s">
        <v>77</v>
      </c>
      <c r="L6" s="16" t="s">
        <v>78</v>
      </c>
      <c r="M6" s="16" t="s">
        <v>79</v>
      </c>
      <c r="N6" s="16" t="s">
        <v>76</v>
      </c>
      <c r="O6" s="16" t="s">
        <v>77</v>
      </c>
      <c r="P6" s="16" t="s">
        <v>75</v>
      </c>
      <c r="Q6" s="16" t="s">
        <v>77</v>
      </c>
      <c r="R6" s="16" t="s">
        <v>76</v>
      </c>
      <c r="S6" s="17">
        <v>2.0</v>
      </c>
      <c r="T6" s="16" t="s">
        <v>77</v>
      </c>
      <c r="U6" s="16" t="s">
        <v>79</v>
      </c>
      <c r="V6" s="16" t="s">
        <v>75</v>
      </c>
      <c r="W6" s="16" t="s">
        <v>78</v>
      </c>
      <c r="X6" s="16" t="s">
        <v>77</v>
      </c>
      <c r="Y6" s="16" t="s">
        <v>77</v>
      </c>
      <c r="Z6" s="16" t="s">
        <v>79</v>
      </c>
      <c r="AA6" s="16" t="s">
        <v>79</v>
      </c>
      <c r="AB6" s="16" t="s">
        <v>78</v>
      </c>
      <c r="AC6" s="16" t="s">
        <v>75</v>
      </c>
      <c r="AD6" s="16" t="s">
        <v>79</v>
      </c>
      <c r="AE6" s="16" t="s">
        <v>78</v>
      </c>
      <c r="AF6" s="16" t="s">
        <v>79</v>
      </c>
      <c r="AG6" s="16" t="s">
        <v>78</v>
      </c>
      <c r="AH6" s="16" t="s">
        <v>75</v>
      </c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>
      <c r="A7" s="16" t="s">
        <v>37</v>
      </c>
      <c r="B7" s="17">
        <v>1.0</v>
      </c>
      <c r="C7" s="17">
        <v>2.0</v>
      </c>
      <c r="D7" s="16" t="s">
        <v>75</v>
      </c>
      <c r="E7" s="16" t="s">
        <v>78</v>
      </c>
      <c r="F7" s="16" t="s">
        <v>77</v>
      </c>
      <c r="G7" s="16" t="s">
        <v>79</v>
      </c>
      <c r="H7" s="16" t="s">
        <v>78</v>
      </c>
      <c r="I7" s="16" t="s">
        <v>79</v>
      </c>
      <c r="J7" s="16" t="s">
        <v>77</v>
      </c>
      <c r="K7" s="16" t="s">
        <v>78</v>
      </c>
      <c r="L7" s="16" t="s">
        <v>77</v>
      </c>
      <c r="M7" s="16" t="s">
        <v>79</v>
      </c>
      <c r="N7" s="16" t="s">
        <v>76</v>
      </c>
      <c r="O7" s="16" t="s">
        <v>79</v>
      </c>
      <c r="P7" s="16" t="s">
        <v>76</v>
      </c>
      <c r="Q7" s="16" t="s">
        <v>77</v>
      </c>
      <c r="R7" s="16" t="s">
        <v>75</v>
      </c>
      <c r="S7" s="17">
        <v>2.0</v>
      </c>
      <c r="T7" s="16" t="s">
        <v>77</v>
      </c>
      <c r="U7" s="16" t="s">
        <v>78</v>
      </c>
      <c r="V7" s="16" t="s">
        <v>75</v>
      </c>
      <c r="W7" s="16" t="s">
        <v>79</v>
      </c>
      <c r="X7" s="16" t="s">
        <v>77</v>
      </c>
      <c r="Y7" s="16" t="s">
        <v>78</v>
      </c>
      <c r="Z7" s="16" t="s">
        <v>77</v>
      </c>
      <c r="AA7" s="16" t="s">
        <v>78</v>
      </c>
      <c r="AB7" s="16" t="s">
        <v>76</v>
      </c>
      <c r="AC7" s="16" t="s">
        <v>75</v>
      </c>
      <c r="AD7" s="16" t="s">
        <v>79</v>
      </c>
      <c r="AE7" s="16" t="s">
        <v>76</v>
      </c>
      <c r="AF7" s="16" t="s">
        <v>75</v>
      </c>
      <c r="AG7" s="16" t="s">
        <v>77</v>
      </c>
      <c r="AH7" s="16" t="s">
        <v>78</v>
      </c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>
      <c r="A8" s="16" t="s">
        <v>38</v>
      </c>
      <c r="B8" s="17">
        <v>1.0</v>
      </c>
      <c r="C8" s="17">
        <v>1.0</v>
      </c>
      <c r="D8" s="16" t="s">
        <v>79</v>
      </c>
      <c r="E8" s="16" t="s">
        <v>79</v>
      </c>
      <c r="F8" s="16" t="s">
        <v>77</v>
      </c>
      <c r="G8" s="16" t="s">
        <v>77</v>
      </c>
      <c r="H8" s="16" t="s">
        <v>78</v>
      </c>
      <c r="I8" s="16" t="s">
        <v>77</v>
      </c>
      <c r="J8" s="16" t="s">
        <v>77</v>
      </c>
      <c r="K8" s="16" t="s">
        <v>78</v>
      </c>
      <c r="L8" s="16" t="s">
        <v>79</v>
      </c>
      <c r="M8" s="16" t="s">
        <v>77</v>
      </c>
      <c r="N8" s="16" t="s">
        <v>76</v>
      </c>
      <c r="O8" s="16" t="s">
        <v>79</v>
      </c>
      <c r="P8" s="16" t="s">
        <v>78</v>
      </c>
      <c r="Q8" s="16" t="s">
        <v>79</v>
      </c>
      <c r="R8" s="16" t="s">
        <v>76</v>
      </c>
      <c r="S8" s="17">
        <v>1.0</v>
      </c>
      <c r="T8" s="16" t="s">
        <v>77</v>
      </c>
      <c r="U8" s="16" t="s">
        <v>78</v>
      </c>
      <c r="V8" s="16" t="s">
        <v>76</v>
      </c>
      <c r="W8" s="16" t="s">
        <v>76</v>
      </c>
      <c r="X8" s="16" t="s">
        <v>75</v>
      </c>
      <c r="Y8" s="16" t="s">
        <v>75</v>
      </c>
      <c r="Z8" s="16" t="s">
        <v>77</v>
      </c>
      <c r="AA8" s="16" t="s">
        <v>79</v>
      </c>
      <c r="AB8" s="16" t="s">
        <v>78</v>
      </c>
      <c r="AC8" s="16" t="s">
        <v>78</v>
      </c>
      <c r="AD8" s="16" t="s">
        <v>77</v>
      </c>
      <c r="AE8" s="16" t="s">
        <v>79</v>
      </c>
      <c r="AF8" s="16" t="s">
        <v>77</v>
      </c>
      <c r="AG8" s="16" t="s">
        <v>78</v>
      </c>
      <c r="AH8" s="16" t="s">
        <v>77</v>
      </c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</row>
    <row r="9">
      <c r="A9" s="16" t="s">
        <v>39</v>
      </c>
      <c r="B9" s="17">
        <v>1.0</v>
      </c>
      <c r="C9" s="17">
        <v>1.0</v>
      </c>
      <c r="D9" s="16" t="s">
        <v>76</v>
      </c>
      <c r="E9" s="16" t="s">
        <v>75</v>
      </c>
      <c r="F9" s="16" t="s">
        <v>77</v>
      </c>
      <c r="G9" s="16" t="s">
        <v>76</v>
      </c>
      <c r="H9" s="16" t="s">
        <v>77</v>
      </c>
      <c r="I9" s="16" t="s">
        <v>78</v>
      </c>
      <c r="J9" s="16" t="s">
        <v>77</v>
      </c>
      <c r="K9" s="16" t="s">
        <v>77</v>
      </c>
      <c r="L9" s="16" t="s">
        <v>79</v>
      </c>
      <c r="M9" s="16" t="s">
        <v>78</v>
      </c>
      <c r="N9" s="16" t="s">
        <v>76</v>
      </c>
      <c r="O9" s="16" t="s">
        <v>77</v>
      </c>
      <c r="P9" s="16" t="s">
        <v>76</v>
      </c>
      <c r="Q9" s="16" t="s">
        <v>75</v>
      </c>
      <c r="R9" s="16" t="s">
        <v>76</v>
      </c>
      <c r="S9" s="17">
        <v>1.0</v>
      </c>
      <c r="T9" s="16" t="s">
        <v>79</v>
      </c>
      <c r="U9" s="16" t="s">
        <v>75</v>
      </c>
      <c r="V9" s="16" t="s">
        <v>78</v>
      </c>
      <c r="W9" s="16" t="s">
        <v>78</v>
      </c>
      <c r="X9" s="16" t="s">
        <v>79</v>
      </c>
      <c r="Y9" s="16" t="s">
        <v>75</v>
      </c>
      <c r="Z9" s="16" t="s">
        <v>79</v>
      </c>
      <c r="AA9" s="16" t="s">
        <v>78</v>
      </c>
      <c r="AB9" s="16" t="s">
        <v>79</v>
      </c>
      <c r="AC9" s="16" t="s">
        <v>78</v>
      </c>
      <c r="AD9" s="16" t="s">
        <v>75</v>
      </c>
      <c r="AE9" s="16" t="s">
        <v>78</v>
      </c>
      <c r="AF9" s="16" t="s">
        <v>75</v>
      </c>
      <c r="AG9" s="16" t="s">
        <v>76</v>
      </c>
      <c r="AH9" s="16" t="s">
        <v>79</v>
      </c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</row>
    <row r="10">
      <c r="A10" s="16" t="s">
        <v>40</v>
      </c>
      <c r="B10" s="17">
        <v>1.0</v>
      </c>
      <c r="C10" s="17">
        <v>1.0</v>
      </c>
      <c r="D10" s="16" t="s">
        <v>75</v>
      </c>
      <c r="E10" s="16" t="s">
        <v>79</v>
      </c>
      <c r="F10" s="16" t="s">
        <v>78</v>
      </c>
      <c r="G10" s="16" t="s">
        <v>78</v>
      </c>
      <c r="H10" s="16" t="s">
        <v>77</v>
      </c>
      <c r="I10" s="16" t="s">
        <v>78</v>
      </c>
      <c r="J10" s="16" t="s">
        <v>77</v>
      </c>
      <c r="K10" s="16" t="s">
        <v>77</v>
      </c>
      <c r="L10" s="16" t="s">
        <v>79</v>
      </c>
      <c r="M10" s="16" t="s">
        <v>79</v>
      </c>
      <c r="N10" s="16" t="s">
        <v>78</v>
      </c>
      <c r="O10" s="16" t="s">
        <v>79</v>
      </c>
      <c r="P10" s="16" t="s">
        <v>79</v>
      </c>
      <c r="Q10" s="16" t="s">
        <v>77</v>
      </c>
      <c r="R10" s="16" t="s">
        <v>75</v>
      </c>
      <c r="S10" s="17">
        <v>1.0</v>
      </c>
      <c r="T10" s="16" t="s">
        <v>79</v>
      </c>
      <c r="U10" s="16" t="s">
        <v>79</v>
      </c>
      <c r="V10" s="16" t="s">
        <v>75</v>
      </c>
      <c r="W10" s="16" t="s">
        <v>78</v>
      </c>
      <c r="X10" s="16" t="s">
        <v>79</v>
      </c>
      <c r="Y10" s="16" t="s">
        <v>77</v>
      </c>
      <c r="Z10" s="16" t="s">
        <v>79</v>
      </c>
      <c r="AA10" s="16" t="s">
        <v>77</v>
      </c>
      <c r="AB10" s="16" t="s">
        <v>77</v>
      </c>
      <c r="AC10" s="16" t="s">
        <v>78</v>
      </c>
      <c r="AD10" s="16" t="s">
        <v>75</v>
      </c>
      <c r="AE10" s="16" t="s">
        <v>78</v>
      </c>
      <c r="AF10" s="16" t="s">
        <v>76</v>
      </c>
      <c r="AG10" s="16" t="s">
        <v>75</v>
      </c>
      <c r="AH10" s="16" t="s">
        <v>76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>
      <c r="A11" s="16" t="s">
        <v>41</v>
      </c>
      <c r="B11" s="17">
        <v>1.0</v>
      </c>
      <c r="C11" s="17">
        <v>1.0</v>
      </c>
      <c r="D11" s="16" t="s">
        <v>76</v>
      </c>
      <c r="E11" s="16" t="s">
        <v>75</v>
      </c>
      <c r="F11" s="16" t="s">
        <v>79</v>
      </c>
      <c r="G11" s="16" t="s">
        <v>75</v>
      </c>
      <c r="H11" s="16" t="s">
        <v>77</v>
      </c>
      <c r="I11" s="16" t="s">
        <v>79</v>
      </c>
      <c r="J11" s="16" t="s">
        <v>77</v>
      </c>
      <c r="K11" s="16" t="s">
        <v>77</v>
      </c>
      <c r="L11" s="16" t="s">
        <v>78</v>
      </c>
      <c r="M11" s="16" t="s">
        <v>79</v>
      </c>
      <c r="N11" s="16" t="s">
        <v>76</v>
      </c>
      <c r="O11" s="16" t="s">
        <v>78</v>
      </c>
      <c r="P11" s="16" t="s">
        <v>76</v>
      </c>
      <c r="Q11" s="16" t="s">
        <v>79</v>
      </c>
      <c r="R11" s="16" t="s">
        <v>76</v>
      </c>
      <c r="S11" s="17">
        <v>1.0</v>
      </c>
      <c r="T11" s="16" t="s">
        <v>77</v>
      </c>
      <c r="U11" s="16" t="s">
        <v>78</v>
      </c>
      <c r="V11" s="16" t="s">
        <v>76</v>
      </c>
      <c r="W11" s="16" t="s">
        <v>76</v>
      </c>
      <c r="X11" s="16" t="s">
        <v>79</v>
      </c>
      <c r="Y11" s="16" t="s">
        <v>79</v>
      </c>
      <c r="Z11" s="16" t="s">
        <v>77</v>
      </c>
      <c r="AA11" s="16" t="s">
        <v>79</v>
      </c>
      <c r="AB11" s="16" t="s">
        <v>77</v>
      </c>
      <c r="AC11" s="16" t="s">
        <v>75</v>
      </c>
      <c r="AD11" s="16" t="s">
        <v>78</v>
      </c>
      <c r="AE11" s="16" t="s">
        <v>78</v>
      </c>
      <c r="AF11" s="16" t="s">
        <v>78</v>
      </c>
      <c r="AG11" s="16" t="s">
        <v>79</v>
      </c>
      <c r="AH11" s="16" t="s">
        <v>77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  <row r="12">
      <c r="A12" s="16" t="s">
        <v>42</v>
      </c>
      <c r="B12" s="17">
        <v>1.0</v>
      </c>
      <c r="C12" s="17">
        <v>1.0</v>
      </c>
      <c r="D12" s="16" t="s">
        <v>77</v>
      </c>
      <c r="E12" s="16" t="s">
        <v>79</v>
      </c>
      <c r="F12" s="16" t="s">
        <v>76</v>
      </c>
      <c r="G12" s="16" t="s">
        <v>77</v>
      </c>
      <c r="H12" s="16" t="s">
        <v>75</v>
      </c>
      <c r="I12" s="16" t="s">
        <v>79</v>
      </c>
      <c r="J12" s="16" t="s">
        <v>76</v>
      </c>
      <c r="K12" s="16" t="s">
        <v>78</v>
      </c>
      <c r="L12" s="16" t="s">
        <v>77</v>
      </c>
      <c r="M12" s="16" t="s">
        <v>76</v>
      </c>
      <c r="N12" s="16" t="s">
        <v>79</v>
      </c>
      <c r="O12" s="16" t="s">
        <v>77</v>
      </c>
      <c r="P12" s="16" t="s">
        <v>78</v>
      </c>
      <c r="Q12" s="16" t="s">
        <v>78</v>
      </c>
      <c r="R12" s="16" t="s">
        <v>76</v>
      </c>
      <c r="S12" s="17">
        <v>1.0</v>
      </c>
      <c r="T12" s="16" t="s">
        <v>77</v>
      </c>
      <c r="U12" s="16" t="s">
        <v>79</v>
      </c>
      <c r="V12" s="16" t="s">
        <v>76</v>
      </c>
      <c r="W12" s="16" t="s">
        <v>76</v>
      </c>
      <c r="X12" s="16" t="s">
        <v>77</v>
      </c>
      <c r="Y12" s="16" t="s">
        <v>78</v>
      </c>
      <c r="Z12" s="16" t="s">
        <v>79</v>
      </c>
      <c r="AA12" s="16" t="s">
        <v>75</v>
      </c>
      <c r="AB12" s="16" t="s">
        <v>77</v>
      </c>
      <c r="AC12" s="16" t="s">
        <v>76</v>
      </c>
      <c r="AD12" s="16" t="s">
        <v>77</v>
      </c>
      <c r="AE12" s="16" t="s">
        <v>78</v>
      </c>
      <c r="AF12" s="16" t="s">
        <v>79</v>
      </c>
      <c r="AG12" s="16" t="s">
        <v>77</v>
      </c>
      <c r="AH12" s="16" t="s">
        <v>79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>
      <c r="A13" s="16" t="s">
        <v>43</v>
      </c>
      <c r="B13" s="17">
        <v>1.0</v>
      </c>
      <c r="C13" s="17">
        <v>1.0</v>
      </c>
      <c r="D13" s="16" t="s">
        <v>76</v>
      </c>
      <c r="E13" s="16" t="s">
        <v>75</v>
      </c>
      <c r="F13" s="16" t="s">
        <v>79</v>
      </c>
      <c r="G13" s="16" t="s">
        <v>78</v>
      </c>
      <c r="H13" s="16" t="s">
        <v>77</v>
      </c>
      <c r="I13" s="16" t="s">
        <v>79</v>
      </c>
      <c r="J13" s="16" t="s">
        <v>79</v>
      </c>
      <c r="K13" s="16" t="s">
        <v>77</v>
      </c>
      <c r="L13" s="16" t="s">
        <v>78</v>
      </c>
      <c r="M13" s="16" t="s">
        <v>77</v>
      </c>
      <c r="N13" s="16" t="s">
        <v>76</v>
      </c>
      <c r="O13" s="16" t="s">
        <v>77</v>
      </c>
      <c r="P13" s="16" t="s">
        <v>75</v>
      </c>
      <c r="Q13" s="16" t="s">
        <v>79</v>
      </c>
      <c r="R13" s="16" t="s">
        <v>76</v>
      </c>
      <c r="S13" s="17">
        <v>1.0</v>
      </c>
      <c r="T13" s="16" t="s">
        <v>77</v>
      </c>
      <c r="U13" s="16" t="s">
        <v>79</v>
      </c>
      <c r="V13" s="16" t="s">
        <v>76</v>
      </c>
      <c r="W13" s="16" t="s">
        <v>75</v>
      </c>
      <c r="X13" s="16" t="s">
        <v>79</v>
      </c>
      <c r="Y13" s="16" t="s">
        <v>79</v>
      </c>
      <c r="Z13" s="16" t="s">
        <v>79</v>
      </c>
      <c r="AA13" s="16" t="s">
        <v>79</v>
      </c>
      <c r="AB13" s="16" t="s">
        <v>79</v>
      </c>
      <c r="AC13" s="16" t="s">
        <v>78</v>
      </c>
      <c r="AD13" s="16" t="s">
        <v>77</v>
      </c>
      <c r="AE13" s="16" t="s">
        <v>75</v>
      </c>
      <c r="AF13" s="16" t="s">
        <v>79</v>
      </c>
      <c r="AG13" s="16" t="s">
        <v>75</v>
      </c>
      <c r="AH13" s="16" t="s">
        <v>79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</row>
    <row r="14">
      <c r="A14" s="18" t="s">
        <v>80</v>
      </c>
      <c r="B14" s="19">
        <v>1.0</v>
      </c>
      <c r="C14" s="19"/>
      <c r="D14" s="18" t="s">
        <v>76</v>
      </c>
      <c r="E14" s="18" t="s">
        <v>75</v>
      </c>
      <c r="F14" s="18" t="s">
        <v>79</v>
      </c>
      <c r="G14" s="18" t="s">
        <v>78</v>
      </c>
      <c r="H14" s="18" t="s">
        <v>77</v>
      </c>
      <c r="I14" s="18" t="s">
        <v>76</v>
      </c>
      <c r="J14" s="18" t="s">
        <v>77</v>
      </c>
      <c r="K14" s="18" t="s">
        <v>78</v>
      </c>
      <c r="L14" s="18" t="s">
        <v>78</v>
      </c>
      <c r="M14" s="18" t="s">
        <v>77</v>
      </c>
      <c r="N14" s="18" t="s">
        <v>76</v>
      </c>
      <c r="O14" s="18" t="s">
        <v>79</v>
      </c>
      <c r="P14" s="18" t="s">
        <v>76</v>
      </c>
      <c r="Q14" s="18" t="s">
        <v>78</v>
      </c>
      <c r="R14" s="18" t="s">
        <v>75</v>
      </c>
      <c r="S14" s="20"/>
      <c r="T14" s="18" t="s">
        <v>79</v>
      </c>
      <c r="U14" s="18" t="s">
        <v>75</v>
      </c>
      <c r="V14" s="18" t="s">
        <v>76</v>
      </c>
      <c r="W14" s="18" t="s">
        <v>75</v>
      </c>
      <c r="X14" s="18" t="s">
        <v>75</v>
      </c>
      <c r="Y14" s="18" t="s">
        <v>79</v>
      </c>
      <c r="Z14" s="18" t="s">
        <v>77</v>
      </c>
      <c r="AA14" s="18" t="s">
        <v>76</v>
      </c>
      <c r="AB14" s="18" t="s">
        <v>77</v>
      </c>
      <c r="AC14" s="18" t="s">
        <v>78</v>
      </c>
      <c r="AD14" s="18" t="s">
        <v>79</v>
      </c>
      <c r="AE14" s="18" t="s">
        <v>75</v>
      </c>
      <c r="AF14" s="18" t="s">
        <v>78</v>
      </c>
      <c r="AG14" s="18" t="s">
        <v>79</v>
      </c>
      <c r="AH14" s="18" t="s">
        <v>77</v>
      </c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</row>
    <row r="15">
      <c r="A15" s="18" t="s">
        <v>81</v>
      </c>
      <c r="B15" s="19">
        <v>1.0</v>
      </c>
      <c r="C15" s="19"/>
      <c r="D15" s="18">
        <v>10.0</v>
      </c>
      <c r="E15" s="18">
        <v>9.0</v>
      </c>
      <c r="F15" s="18">
        <v>17.0</v>
      </c>
      <c r="G15" s="18">
        <v>8.0</v>
      </c>
      <c r="H15" s="18">
        <v>1.0</v>
      </c>
      <c r="I15" s="18">
        <v>20.0</v>
      </c>
      <c r="J15" s="18">
        <v>6.0</v>
      </c>
      <c r="K15" s="18">
        <v>28.0</v>
      </c>
      <c r="L15" s="18">
        <v>3.0</v>
      </c>
      <c r="M15" s="18">
        <v>16.0</v>
      </c>
      <c r="N15" s="18">
        <v>5.0</v>
      </c>
      <c r="O15" s="18">
        <v>12.0</v>
      </c>
      <c r="P15" s="18">
        <v>30.0</v>
      </c>
      <c r="Q15" s="18">
        <v>18.0</v>
      </c>
      <c r="R15" s="18">
        <v>4.0</v>
      </c>
      <c r="S15" s="20"/>
      <c r="T15" s="18">
        <v>22.0</v>
      </c>
      <c r="U15" s="18">
        <v>24.0</v>
      </c>
      <c r="V15" s="18">
        <v>15.0</v>
      </c>
      <c r="W15" s="18">
        <v>14.0</v>
      </c>
      <c r="X15" s="18">
        <v>19.0</v>
      </c>
      <c r="Y15" s="18">
        <v>2.0</v>
      </c>
      <c r="Z15" s="18">
        <v>21.0</v>
      </c>
      <c r="AA15" s="18">
        <v>25.0</v>
      </c>
      <c r="AB15" s="18">
        <v>11.0</v>
      </c>
      <c r="AC15" s="18">
        <v>13.0</v>
      </c>
      <c r="AD15" s="18">
        <v>27.0</v>
      </c>
      <c r="AE15" s="18">
        <v>29.0</v>
      </c>
      <c r="AF15" s="18">
        <v>23.0</v>
      </c>
      <c r="AG15" s="18">
        <v>7.0</v>
      </c>
      <c r="AH15" s="18">
        <v>26.0</v>
      </c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</row>
    <row r="16">
      <c r="A16" s="16" t="s">
        <v>30</v>
      </c>
      <c r="B16" s="17">
        <v>1.0</v>
      </c>
      <c r="C16" s="17">
        <v>2.0</v>
      </c>
      <c r="D16" s="16">
        <f t="shared" ref="D16:AH16" si="1">IF(D2=D$14,1,0)</f>
        <v>0</v>
      </c>
      <c r="E16" s="16">
        <f t="shared" si="1"/>
        <v>0</v>
      </c>
      <c r="F16" s="16">
        <f t="shared" si="1"/>
        <v>0</v>
      </c>
      <c r="G16" s="16">
        <f t="shared" si="1"/>
        <v>1</v>
      </c>
      <c r="H16" s="16">
        <f t="shared" si="1"/>
        <v>1</v>
      </c>
      <c r="I16" s="16">
        <f t="shared" si="1"/>
        <v>0</v>
      </c>
      <c r="J16" s="16">
        <f t="shared" si="1"/>
        <v>1</v>
      </c>
      <c r="K16" s="16">
        <f t="shared" si="1"/>
        <v>1</v>
      </c>
      <c r="L16" s="16">
        <f t="shared" si="1"/>
        <v>0</v>
      </c>
      <c r="M16" s="16">
        <f t="shared" si="1"/>
        <v>0</v>
      </c>
      <c r="N16" s="16">
        <f t="shared" si="1"/>
        <v>1</v>
      </c>
      <c r="O16" s="16">
        <f t="shared" si="1"/>
        <v>0</v>
      </c>
      <c r="P16" s="16">
        <f t="shared" si="1"/>
        <v>0</v>
      </c>
      <c r="Q16" s="16">
        <f t="shared" si="1"/>
        <v>0</v>
      </c>
      <c r="R16" s="16">
        <f t="shared" si="1"/>
        <v>0</v>
      </c>
      <c r="S16" s="16">
        <f t="shared" si="1"/>
        <v>0</v>
      </c>
      <c r="T16" s="16">
        <f t="shared" si="1"/>
        <v>0</v>
      </c>
      <c r="U16" s="16">
        <f t="shared" si="1"/>
        <v>0</v>
      </c>
      <c r="V16" s="16">
        <f t="shared" si="1"/>
        <v>0</v>
      </c>
      <c r="W16" s="16">
        <f t="shared" si="1"/>
        <v>1</v>
      </c>
      <c r="X16" s="16">
        <f t="shared" si="1"/>
        <v>0</v>
      </c>
      <c r="Y16" s="16">
        <f t="shared" si="1"/>
        <v>1</v>
      </c>
      <c r="Z16" s="16">
        <f t="shared" si="1"/>
        <v>1</v>
      </c>
      <c r="AA16" s="16">
        <f t="shared" si="1"/>
        <v>0</v>
      </c>
      <c r="AB16" s="16">
        <f t="shared" si="1"/>
        <v>1</v>
      </c>
      <c r="AC16" s="16">
        <f t="shared" si="1"/>
        <v>1</v>
      </c>
      <c r="AD16" s="16">
        <f t="shared" si="1"/>
        <v>1</v>
      </c>
      <c r="AE16" s="16">
        <f t="shared" si="1"/>
        <v>1</v>
      </c>
      <c r="AF16" s="16">
        <f t="shared" si="1"/>
        <v>1</v>
      </c>
      <c r="AG16" s="16">
        <f t="shared" si="1"/>
        <v>0</v>
      </c>
      <c r="AH16" s="16">
        <f t="shared" si="1"/>
        <v>1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>
      <c r="A17" s="16" t="s">
        <v>32</v>
      </c>
      <c r="B17" s="17">
        <v>1.0</v>
      </c>
      <c r="C17" s="17">
        <v>2.0</v>
      </c>
      <c r="D17" s="16">
        <f t="shared" ref="D17:AH17" si="2">IF(D3=D$14,1,0)</f>
        <v>1</v>
      </c>
      <c r="E17" s="16">
        <f t="shared" si="2"/>
        <v>1</v>
      </c>
      <c r="F17" s="16">
        <f t="shared" si="2"/>
        <v>0</v>
      </c>
      <c r="G17" s="16">
        <f t="shared" si="2"/>
        <v>1</v>
      </c>
      <c r="H17" s="16">
        <f t="shared" si="2"/>
        <v>1</v>
      </c>
      <c r="I17" s="16">
        <f t="shared" si="2"/>
        <v>0</v>
      </c>
      <c r="J17" s="16">
        <f t="shared" si="2"/>
        <v>0</v>
      </c>
      <c r="K17" s="16">
        <f t="shared" si="2"/>
        <v>1</v>
      </c>
      <c r="L17" s="16">
        <f t="shared" si="2"/>
        <v>0</v>
      </c>
      <c r="M17" s="16">
        <f t="shared" si="2"/>
        <v>0</v>
      </c>
      <c r="N17" s="16">
        <f t="shared" si="2"/>
        <v>1</v>
      </c>
      <c r="O17" s="16">
        <f t="shared" si="2"/>
        <v>0</v>
      </c>
      <c r="P17" s="16">
        <f t="shared" si="2"/>
        <v>1</v>
      </c>
      <c r="Q17" s="16">
        <f t="shared" si="2"/>
        <v>0</v>
      </c>
      <c r="R17" s="16">
        <f t="shared" si="2"/>
        <v>0</v>
      </c>
      <c r="S17" s="16">
        <f t="shared" si="2"/>
        <v>0</v>
      </c>
      <c r="T17" s="16">
        <f t="shared" si="2"/>
        <v>0</v>
      </c>
      <c r="U17" s="16">
        <f t="shared" si="2"/>
        <v>0</v>
      </c>
      <c r="V17" s="16">
        <f t="shared" si="2"/>
        <v>1</v>
      </c>
      <c r="W17" s="16">
        <f t="shared" si="2"/>
        <v>0</v>
      </c>
      <c r="X17" s="16">
        <f t="shared" si="2"/>
        <v>0</v>
      </c>
      <c r="Y17" s="16">
        <f t="shared" si="2"/>
        <v>0</v>
      </c>
      <c r="Z17" s="16">
        <f t="shared" si="2"/>
        <v>1</v>
      </c>
      <c r="AA17" s="16">
        <f t="shared" si="2"/>
        <v>1</v>
      </c>
      <c r="AB17" s="16">
        <f t="shared" si="2"/>
        <v>0</v>
      </c>
      <c r="AC17" s="16">
        <f t="shared" si="2"/>
        <v>0</v>
      </c>
      <c r="AD17" s="16">
        <f t="shared" si="2"/>
        <v>0</v>
      </c>
      <c r="AE17" s="16">
        <f t="shared" si="2"/>
        <v>0</v>
      </c>
      <c r="AF17" s="16">
        <f t="shared" si="2"/>
        <v>0</v>
      </c>
      <c r="AG17" s="16">
        <f t="shared" si="2"/>
        <v>0</v>
      </c>
      <c r="AH17" s="16">
        <f t="shared" si="2"/>
        <v>1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>
      <c r="A18" s="16" t="s">
        <v>34</v>
      </c>
      <c r="B18" s="17">
        <v>1.0</v>
      </c>
      <c r="C18" s="17">
        <v>2.0</v>
      </c>
      <c r="D18" s="16">
        <f t="shared" ref="D18:AH18" si="3">IF(D4=D$14,1,0)</f>
        <v>0</v>
      </c>
      <c r="E18" s="16">
        <f t="shared" si="3"/>
        <v>0</v>
      </c>
      <c r="F18" s="16">
        <f t="shared" si="3"/>
        <v>0</v>
      </c>
      <c r="G18" s="16">
        <f t="shared" si="3"/>
        <v>0</v>
      </c>
      <c r="H18" s="16">
        <f t="shared" si="3"/>
        <v>1</v>
      </c>
      <c r="I18" s="16">
        <f t="shared" si="3"/>
        <v>0</v>
      </c>
      <c r="J18" s="16">
        <f t="shared" si="3"/>
        <v>1</v>
      </c>
      <c r="K18" s="16">
        <f t="shared" si="3"/>
        <v>1</v>
      </c>
      <c r="L18" s="16">
        <f t="shared" si="3"/>
        <v>0</v>
      </c>
      <c r="M18" s="16">
        <f t="shared" si="3"/>
        <v>1</v>
      </c>
      <c r="N18" s="16">
        <f t="shared" si="3"/>
        <v>1</v>
      </c>
      <c r="O18" s="16">
        <f t="shared" si="3"/>
        <v>0</v>
      </c>
      <c r="P18" s="16">
        <f t="shared" si="3"/>
        <v>0</v>
      </c>
      <c r="Q18" s="16">
        <f t="shared" si="3"/>
        <v>0</v>
      </c>
      <c r="R18" s="16">
        <f t="shared" si="3"/>
        <v>0</v>
      </c>
      <c r="S18" s="16">
        <f t="shared" si="3"/>
        <v>0</v>
      </c>
      <c r="T18" s="16">
        <f t="shared" si="3"/>
        <v>1</v>
      </c>
      <c r="U18" s="16">
        <f t="shared" si="3"/>
        <v>0</v>
      </c>
      <c r="V18" s="16">
        <f t="shared" si="3"/>
        <v>1</v>
      </c>
      <c r="W18" s="16">
        <f t="shared" si="3"/>
        <v>1</v>
      </c>
      <c r="X18" s="16">
        <f t="shared" si="3"/>
        <v>0</v>
      </c>
      <c r="Y18" s="16">
        <f t="shared" si="3"/>
        <v>0</v>
      </c>
      <c r="Z18" s="16">
        <f t="shared" si="3"/>
        <v>1</v>
      </c>
      <c r="AA18" s="16">
        <f t="shared" si="3"/>
        <v>0</v>
      </c>
      <c r="AB18" s="16">
        <f t="shared" si="3"/>
        <v>1</v>
      </c>
      <c r="AC18" s="16">
        <f t="shared" si="3"/>
        <v>0</v>
      </c>
      <c r="AD18" s="16">
        <f t="shared" si="3"/>
        <v>0</v>
      </c>
      <c r="AE18" s="16">
        <f t="shared" si="3"/>
        <v>0</v>
      </c>
      <c r="AF18" s="16">
        <f t="shared" si="3"/>
        <v>0</v>
      </c>
      <c r="AG18" s="16">
        <f t="shared" si="3"/>
        <v>0</v>
      </c>
      <c r="AH18" s="16">
        <f t="shared" si="3"/>
        <v>0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  <row r="19">
      <c r="A19" s="16" t="s">
        <v>35</v>
      </c>
      <c r="B19" s="17">
        <v>1.0</v>
      </c>
      <c r="C19" s="17">
        <v>2.0</v>
      </c>
      <c r="D19" s="16">
        <f t="shared" ref="D19:AH19" si="4">IF(D5=D$14,1,0)</f>
        <v>0</v>
      </c>
      <c r="E19" s="16">
        <f t="shared" si="4"/>
        <v>0</v>
      </c>
      <c r="F19" s="16">
        <f t="shared" si="4"/>
        <v>0</v>
      </c>
      <c r="G19" s="16">
        <f t="shared" si="4"/>
        <v>0</v>
      </c>
      <c r="H19" s="16">
        <f t="shared" si="4"/>
        <v>0</v>
      </c>
      <c r="I19" s="16">
        <f t="shared" si="4"/>
        <v>0</v>
      </c>
      <c r="J19" s="16">
        <f t="shared" si="4"/>
        <v>0</v>
      </c>
      <c r="K19" s="16">
        <f t="shared" si="4"/>
        <v>0</v>
      </c>
      <c r="L19" s="16">
        <f t="shared" si="4"/>
        <v>0</v>
      </c>
      <c r="M19" s="16">
        <f t="shared" si="4"/>
        <v>0</v>
      </c>
      <c r="N19" s="16">
        <f t="shared" si="4"/>
        <v>1</v>
      </c>
      <c r="O19" s="16">
        <f t="shared" si="4"/>
        <v>0</v>
      </c>
      <c r="P19" s="16">
        <f t="shared" si="4"/>
        <v>0</v>
      </c>
      <c r="Q19" s="16">
        <f t="shared" si="4"/>
        <v>0</v>
      </c>
      <c r="R19" s="16">
        <f t="shared" si="4"/>
        <v>1</v>
      </c>
      <c r="S19" s="16">
        <f t="shared" si="4"/>
        <v>0</v>
      </c>
      <c r="T19" s="16">
        <f t="shared" si="4"/>
        <v>0</v>
      </c>
      <c r="U19" s="16">
        <f t="shared" si="4"/>
        <v>0</v>
      </c>
      <c r="V19" s="16">
        <f t="shared" si="4"/>
        <v>0</v>
      </c>
      <c r="W19" s="16">
        <f t="shared" si="4"/>
        <v>0</v>
      </c>
      <c r="X19" s="16">
        <f t="shared" si="4"/>
        <v>0</v>
      </c>
      <c r="Y19" s="16">
        <f t="shared" si="4"/>
        <v>0</v>
      </c>
      <c r="Z19" s="16">
        <f t="shared" si="4"/>
        <v>1</v>
      </c>
      <c r="AA19" s="16">
        <f t="shared" si="4"/>
        <v>1</v>
      </c>
      <c r="AB19" s="16">
        <f t="shared" si="4"/>
        <v>1</v>
      </c>
      <c r="AC19" s="16">
        <f t="shared" si="4"/>
        <v>1</v>
      </c>
      <c r="AD19" s="16">
        <f t="shared" si="4"/>
        <v>0</v>
      </c>
      <c r="AE19" s="16">
        <f t="shared" si="4"/>
        <v>1</v>
      </c>
      <c r="AF19" s="16">
        <f t="shared" si="4"/>
        <v>0</v>
      </c>
      <c r="AG19" s="16">
        <f t="shared" si="4"/>
        <v>0</v>
      </c>
      <c r="AH19" s="16">
        <f t="shared" si="4"/>
        <v>1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>
      <c r="A20" s="16" t="s">
        <v>36</v>
      </c>
      <c r="B20" s="17">
        <v>1.0</v>
      </c>
      <c r="C20" s="17">
        <v>2.0</v>
      </c>
      <c r="D20" s="16">
        <f t="shared" ref="D20:AH20" si="5">IF(D6=D$14,1,0)</f>
        <v>1</v>
      </c>
      <c r="E20" s="16">
        <f t="shared" si="5"/>
        <v>1</v>
      </c>
      <c r="F20" s="16">
        <f t="shared" si="5"/>
        <v>0</v>
      </c>
      <c r="G20" s="16">
        <f t="shared" si="5"/>
        <v>0</v>
      </c>
      <c r="H20" s="16">
        <f t="shared" si="5"/>
        <v>0</v>
      </c>
      <c r="I20" s="16">
        <f t="shared" si="5"/>
        <v>0</v>
      </c>
      <c r="J20" s="16">
        <f t="shared" si="5"/>
        <v>0</v>
      </c>
      <c r="K20" s="16">
        <f t="shared" si="5"/>
        <v>0</v>
      </c>
      <c r="L20" s="16">
        <f t="shared" si="5"/>
        <v>1</v>
      </c>
      <c r="M20" s="16">
        <f t="shared" si="5"/>
        <v>0</v>
      </c>
      <c r="N20" s="16">
        <f t="shared" si="5"/>
        <v>1</v>
      </c>
      <c r="O20" s="16">
        <f t="shared" si="5"/>
        <v>0</v>
      </c>
      <c r="P20" s="16">
        <f t="shared" si="5"/>
        <v>0</v>
      </c>
      <c r="Q20" s="16">
        <f t="shared" si="5"/>
        <v>0</v>
      </c>
      <c r="R20" s="16">
        <f t="shared" si="5"/>
        <v>0</v>
      </c>
      <c r="S20" s="16">
        <f t="shared" si="5"/>
        <v>0</v>
      </c>
      <c r="T20" s="16">
        <f t="shared" si="5"/>
        <v>0</v>
      </c>
      <c r="U20" s="16">
        <f t="shared" si="5"/>
        <v>0</v>
      </c>
      <c r="V20" s="16">
        <f t="shared" si="5"/>
        <v>0</v>
      </c>
      <c r="W20" s="16">
        <f t="shared" si="5"/>
        <v>0</v>
      </c>
      <c r="X20" s="16">
        <f t="shared" si="5"/>
        <v>0</v>
      </c>
      <c r="Y20" s="16">
        <f t="shared" si="5"/>
        <v>0</v>
      </c>
      <c r="Z20" s="16">
        <f t="shared" si="5"/>
        <v>0</v>
      </c>
      <c r="AA20" s="16">
        <f t="shared" si="5"/>
        <v>0</v>
      </c>
      <c r="AB20" s="16">
        <f t="shared" si="5"/>
        <v>0</v>
      </c>
      <c r="AC20" s="16">
        <f t="shared" si="5"/>
        <v>0</v>
      </c>
      <c r="AD20" s="16">
        <f t="shared" si="5"/>
        <v>1</v>
      </c>
      <c r="AE20" s="16">
        <f t="shared" si="5"/>
        <v>0</v>
      </c>
      <c r="AF20" s="16">
        <f t="shared" si="5"/>
        <v>0</v>
      </c>
      <c r="AG20" s="16">
        <f t="shared" si="5"/>
        <v>0</v>
      </c>
      <c r="AH20" s="16">
        <f t="shared" si="5"/>
        <v>0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>
      <c r="A21" s="16" t="s">
        <v>37</v>
      </c>
      <c r="B21" s="17">
        <v>1.0</v>
      </c>
      <c r="C21" s="17">
        <v>2.0</v>
      </c>
      <c r="D21" s="16">
        <f t="shared" ref="D21:AH21" si="6">IF(D7=D$14,1,0)</f>
        <v>0</v>
      </c>
      <c r="E21" s="16">
        <f t="shared" si="6"/>
        <v>0</v>
      </c>
      <c r="F21" s="16">
        <f t="shared" si="6"/>
        <v>0</v>
      </c>
      <c r="G21" s="16">
        <f t="shared" si="6"/>
        <v>0</v>
      </c>
      <c r="H21" s="16">
        <f t="shared" si="6"/>
        <v>0</v>
      </c>
      <c r="I21" s="16">
        <f t="shared" si="6"/>
        <v>0</v>
      </c>
      <c r="J21" s="16">
        <f t="shared" si="6"/>
        <v>1</v>
      </c>
      <c r="K21" s="16">
        <f t="shared" si="6"/>
        <v>1</v>
      </c>
      <c r="L21" s="16">
        <f t="shared" si="6"/>
        <v>0</v>
      </c>
      <c r="M21" s="16">
        <f t="shared" si="6"/>
        <v>0</v>
      </c>
      <c r="N21" s="16">
        <f t="shared" si="6"/>
        <v>1</v>
      </c>
      <c r="O21" s="16">
        <f t="shared" si="6"/>
        <v>1</v>
      </c>
      <c r="P21" s="16">
        <f t="shared" si="6"/>
        <v>1</v>
      </c>
      <c r="Q21" s="16">
        <f t="shared" si="6"/>
        <v>0</v>
      </c>
      <c r="R21" s="16">
        <f t="shared" si="6"/>
        <v>1</v>
      </c>
      <c r="S21" s="16">
        <f t="shared" si="6"/>
        <v>0</v>
      </c>
      <c r="T21" s="16">
        <f t="shared" si="6"/>
        <v>0</v>
      </c>
      <c r="U21" s="16">
        <f t="shared" si="6"/>
        <v>0</v>
      </c>
      <c r="V21" s="16">
        <f t="shared" si="6"/>
        <v>0</v>
      </c>
      <c r="W21" s="16">
        <f t="shared" si="6"/>
        <v>0</v>
      </c>
      <c r="X21" s="16">
        <f t="shared" si="6"/>
        <v>0</v>
      </c>
      <c r="Y21" s="16">
        <f t="shared" si="6"/>
        <v>0</v>
      </c>
      <c r="Z21" s="16">
        <f t="shared" si="6"/>
        <v>1</v>
      </c>
      <c r="AA21" s="16">
        <f t="shared" si="6"/>
        <v>0</v>
      </c>
      <c r="AB21" s="16">
        <f t="shared" si="6"/>
        <v>0</v>
      </c>
      <c r="AC21" s="16">
        <f t="shared" si="6"/>
        <v>0</v>
      </c>
      <c r="AD21" s="16">
        <f t="shared" si="6"/>
        <v>1</v>
      </c>
      <c r="AE21" s="16">
        <f t="shared" si="6"/>
        <v>0</v>
      </c>
      <c r="AF21" s="16">
        <f t="shared" si="6"/>
        <v>0</v>
      </c>
      <c r="AG21" s="16">
        <f t="shared" si="6"/>
        <v>0</v>
      </c>
      <c r="AH21" s="16">
        <f t="shared" si="6"/>
        <v>0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>
      <c r="A22" s="16" t="s">
        <v>38</v>
      </c>
      <c r="B22" s="17">
        <v>1.0</v>
      </c>
      <c r="C22" s="17">
        <v>1.0</v>
      </c>
      <c r="D22" s="16">
        <f t="shared" ref="D22:AH22" si="7">IF(D8=D$14,1,0)</f>
        <v>0</v>
      </c>
      <c r="E22" s="16">
        <f t="shared" si="7"/>
        <v>0</v>
      </c>
      <c r="F22" s="16">
        <f t="shared" si="7"/>
        <v>0</v>
      </c>
      <c r="G22" s="16">
        <f t="shared" si="7"/>
        <v>0</v>
      </c>
      <c r="H22" s="16">
        <f t="shared" si="7"/>
        <v>0</v>
      </c>
      <c r="I22" s="16">
        <f t="shared" si="7"/>
        <v>0</v>
      </c>
      <c r="J22" s="16">
        <f t="shared" si="7"/>
        <v>1</v>
      </c>
      <c r="K22" s="16">
        <f t="shared" si="7"/>
        <v>1</v>
      </c>
      <c r="L22" s="16">
        <f t="shared" si="7"/>
        <v>0</v>
      </c>
      <c r="M22" s="16">
        <f t="shared" si="7"/>
        <v>1</v>
      </c>
      <c r="N22" s="16">
        <f t="shared" si="7"/>
        <v>1</v>
      </c>
      <c r="O22" s="16">
        <f t="shared" si="7"/>
        <v>1</v>
      </c>
      <c r="P22" s="16">
        <f t="shared" si="7"/>
        <v>0</v>
      </c>
      <c r="Q22" s="16">
        <f t="shared" si="7"/>
        <v>0</v>
      </c>
      <c r="R22" s="16">
        <f t="shared" si="7"/>
        <v>0</v>
      </c>
      <c r="S22" s="16">
        <f t="shared" si="7"/>
        <v>0</v>
      </c>
      <c r="T22" s="16">
        <f t="shared" si="7"/>
        <v>0</v>
      </c>
      <c r="U22" s="16">
        <f t="shared" si="7"/>
        <v>0</v>
      </c>
      <c r="V22" s="16">
        <f t="shared" si="7"/>
        <v>1</v>
      </c>
      <c r="W22" s="16">
        <f t="shared" si="7"/>
        <v>0</v>
      </c>
      <c r="X22" s="16">
        <f t="shared" si="7"/>
        <v>1</v>
      </c>
      <c r="Y22" s="16">
        <f t="shared" si="7"/>
        <v>0</v>
      </c>
      <c r="Z22" s="16">
        <f t="shared" si="7"/>
        <v>1</v>
      </c>
      <c r="AA22" s="16">
        <f t="shared" si="7"/>
        <v>0</v>
      </c>
      <c r="AB22" s="16">
        <f t="shared" si="7"/>
        <v>0</v>
      </c>
      <c r="AC22" s="16">
        <f t="shared" si="7"/>
        <v>1</v>
      </c>
      <c r="AD22" s="16">
        <f t="shared" si="7"/>
        <v>0</v>
      </c>
      <c r="AE22" s="16">
        <f t="shared" si="7"/>
        <v>0</v>
      </c>
      <c r="AF22" s="16">
        <f t="shared" si="7"/>
        <v>0</v>
      </c>
      <c r="AG22" s="16">
        <f t="shared" si="7"/>
        <v>0</v>
      </c>
      <c r="AH22" s="16">
        <f t="shared" si="7"/>
        <v>1</v>
      </c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>
      <c r="A23" s="16" t="s">
        <v>39</v>
      </c>
      <c r="B23" s="17">
        <v>1.0</v>
      </c>
      <c r="C23" s="17">
        <v>1.0</v>
      </c>
      <c r="D23" s="16">
        <f t="shared" ref="D23:AH23" si="8">IF(D9=D$14,1,0)</f>
        <v>1</v>
      </c>
      <c r="E23" s="16">
        <f t="shared" si="8"/>
        <v>1</v>
      </c>
      <c r="F23" s="16">
        <f t="shared" si="8"/>
        <v>0</v>
      </c>
      <c r="G23" s="16">
        <f t="shared" si="8"/>
        <v>0</v>
      </c>
      <c r="H23" s="16">
        <f t="shared" si="8"/>
        <v>1</v>
      </c>
      <c r="I23" s="16">
        <f t="shared" si="8"/>
        <v>0</v>
      </c>
      <c r="J23" s="16">
        <f t="shared" si="8"/>
        <v>1</v>
      </c>
      <c r="K23" s="16">
        <f t="shared" si="8"/>
        <v>0</v>
      </c>
      <c r="L23" s="16">
        <f t="shared" si="8"/>
        <v>0</v>
      </c>
      <c r="M23" s="16">
        <f t="shared" si="8"/>
        <v>0</v>
      </c>
      <c r="N23" s="16">
        <f t="shared" si="8"/>
        <v>1</v>
      </c>
      <c r="O23" s="16">
        <f t="shared" si="8"/>
        <v>0</v>
      </c>
      <c r="P23" s="16">
        <f t="shared" si="8"/>
        <v>1</v>
      </c>
      <c r="Q23" s="16">
        <f t="shared" si="8"/>
        <v>0</v>
      </c>
      <c r="R23" s="16">
        <f t="shared" si="8"/>
        <v>0</v>
      </c>
      <c r="S23" s="16">
        <f t="shared" si="8"/>
        <v>0</v>
      </c>
      <c r="T23" s="16">
        <f t="shared" si="8"/>
        <v>1</v>
      </c>
      <c r="U23" s="16">
        <f t="shared" si="8"/>
        <v>1</v>
      </c>
      <c r="V23" s="16">
        <f t="shared" si="8"/>
        <v>0</v>
      </c>
      <c r="W23" s="16">
        <f t="shared" si="8"/>
        <v>0</v>
      </c>
      <c r="X23" s="16">
        <f t="shared" si="8"/>
        <v>0</v>
      </c>
      <c r="Y23" s="16">
        <f t="shared" si="8"/>
        <v>0</v>
      </c>
      <c r="Z23" s="16">
        <f t="shared" si="8"/>
        <v>0</v>
      </c>
      <c r="AA23" s="16">
        <f t="shared" si="8"/>
        <v>0</v>
      </c>
      <c r="AB23" s="16">
        <f t="shared" si="8"/>
        <v>0</v>
      </c>
      <c r="AC23" s="16">
        <f t="shared" si="8"/>
        <v>1</v>
      </c>
      <c r="AD23" s="16">
        <f t="shared" si="8"/>
        <v>0</v>
      </c>
      <c r="AE23" s="16">
        <f t="shared" si="8"/>
        <v>0</v>
      </c>
      <c r="AF23" s="16">
        <f t="shared" si="8"/>
        <v>0</v>
      </c>
      <c r="AG23" s="16">
        <f t="shared" si="8"/>
        <v>0</v>
      </c>
      <c r="AH23" s="16">
        <f t="shared" si="8"/>
        <v>0</v>
      </c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>
      <c r="A24" s="16" t="s">
        <v>40</v>
      </c>
      <c r="B24" s="17">
        <v>1.0</v>
      </c>
      <c r="C24" s="17">
        <v>1.0</v>
      </c>
      <c r="D24" s="16">
        <f t="shared" ref="D24:AH24" si="9">IF(D10=D$14,1,0)</f>
        <v>0</v>
      </c>
      <c r="E24" s="16">
        <f t="shared" si="9"/>
        <v>0</v>
      </c>
      <c r="F24" s="16">
        <f t="shared" si="9"/>
        <v>0</v>
      </c>
      <c r="G24" s="16">
        <f t="shared" si="9"/>
        <v>1</v>
      </c>
      <c r="H24" s="16">
        <f t="shared" si="9"/>
        <v>1</v>
      </c>
      <c r="I24" s="16">
        <f t="shared" si="9"/>
        <v>0</v>
      </c>
      <c r="J24" s="16">
        <f t="shared" si="9"/>
        <v>1</v>
      </c>
      <c r="K24" s="16">
        <f t="shared" si="9"/>
        <v>0</v>
      </c>
      <c r="L24" s="16">
        <f t="shared" si="9"/>
        <v>0</v>
      </c>
      <c r="M24" s="16">
        <f t="shared" si="9"/>
        <v>0</v>
      </c>
      <c r="N24" s="16">
        <f t="shared" si="9"/>
        <v>0</v>
      </c>
      <c r="O24" s="16">
        <f t="shared" si="9"/>
        <v>1</v>
      </c>
      <c r="P24" s="16">
        <f t="shared" si="9"/>
        <v>0</v>
      </c>
      <c r="Q24" s="16">
        <f t="shared" si="9"/>
        <v>0</v>
      </c>
      <c r="R24" s="16">
        <f t="shared" si="9"/>
        <v>1</v>
      </c>
      <c r="S24" s="16">
        <f t="shared" si="9"/>
        <v>0</v>
      </c>
      <c r="T24" s="16">
        <f t="shared" si="9"/>
        <v>1</v>
      </c>
      <c r="U24" s="16">
        <f t="shared" si="9"/>
        <v>0</v>
      </c>
      <c r="V24" s="16">
        <f t="shared" si="9"/>
        <v>0</v>
      </c>
      <c r="W24" s="16">
        <f t="shared" si="9"/>
        <v>0</v>
      </c>
      <c r="X24" s="16">
        <f t="shared" si="9"/>
        <v>0</v>
      </c>
      <c r="Y24" s="16">
        <f t="shared" si="9"/>
        <v>0</v>
      </c>
      <c r="Z24" s="16">
        <f t="shared" si="9"/>
        <v>0</v>
      </c>
      <c r="AA24" s="16">
        <f t="shared" si="9"/>
        <v>0</v>
      </c>
      <c r="AB24" s="16">
        <f t="shared" si="9"/>
        <v>1</v>
      </c>
      <c r="AC24" s="16">
        <f t="shared" si="9"/>
        <v>1</v>
      </c>
      <c r="AD24" s="16">
        <f t="shared" si="9"/>
        <v>0</v>
      </c>
      <c r="AE24" s="16">
        <f t="shared" si="9"/>
        <v>0</v>
      </c>
      <c r="AF24" s="16">
        <f t="shared" si="9"/>
        <v>0</v>
      </c>
      <c r="AG24" s="16">
        <f t="shared" si="9"/>
        <v>0</v>
      </c>
      <c r="AH24" s="16">
        <f t="shared" si="9"/>
        <v>0</v>
      </c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>
      <c r="A25" s="16" t="s">
        <v>41</v>
      </c>
      <c r="B25" s="17">
        <v>1.0</v>
      </c>
      <c r="C25" s="17">
        <v>1.0</v>
      </c>
      <c r="D25" s="16">
        <f t="shared" ref="D25:AH25" si="10">IF(D11=D$14,1,0)</f>
        <v>1</v>
      </c>
      <c r="E25" s="16">
        <f t="shared" si="10"/>
        <v>1</v>
      </c>
      <c r="F25" s="16">
        <f t="shared" si="10"/>
        <v>1</v>
      </c>
      <c r="G25" s="16">
        <f t="shared" si="10"/>
        <v>0</v>
      </c>
      <c r="H25" s="16">
        <f t="shared" si="10"/>
        <v>1</v>
      </c>
      <c r="I25" s="16">
        <f t="shared" si="10"/>
        <v>0</v>
      </c>
      <c r="J25" s="16">
        <f t="shared" si="10"/>
        <v>1</v>
      </c>
      <c r="K25" s="16">
        <f t="shared" si="10"/>
        <v>0</v>
      </c>
      <c r="L25" s="16">
        <f t="shared" si="10"/>
        <v>1</v>
      </c>
      <c r="M25" s="16">
        <f t="shared" si="10"/>
        <v>0</v>
      </c>
      <c r="N25" s="16">
        <f t="shared" si="10"/>
        <v>1</v>
      </c>
      <c r="O25" s="16">
        <f t="shared" si="10"/>
        <v>0</v>
      </c>
      <c r="P25" s="16">
        <f t="shared" si="10"/>
        <v>1</v>
      </c>
      <c r="Q25" s="16">
        <f t="shared" si="10"/>
        <v>0</v>
      </c>
      <c r="R25" s="16">
        <f t="shared" si="10"/>
        <v>0</v>
      </c>
      <c r="S25" s="16">
        <f t="shared" si="10"/>
        <v>0</v>
      </c>
      <c r="T25" s="16">
        <f t="shared" si="10"/>
        <v>0</v>
      </c>
      <c r="U25" s="16">
        <f t="shared" si="10"/>
        <v>0</v>
      </c>
      <c r="V25" s="16">
        <f t="shared" si="10"/>
        <v>1</v>
      </c>
      <c r="W25" s="16">
        <f t="shared" si="10"/>
        <v>0</v>
      </c>
      <c r="X25" s="16">
        <f t="shared" si="10"/>
        <v>0</v>
      </c>
      <c r="Y25" s="16">
        <f t="shared" si="10"/>
        <v>1</v>
      </c>
      <c r="Z25" s="16">
        <f t="shared" si="10"/>
        <v>1</v>
      </c>
      <c r="AA25" s="16">
        <f t="shared" si="10"/>
        <v>0</v>
      </c>
      <c r="AB25" s="16">
        <f t="shared" si="10"/>
        <v>1</v>
      </c>
      <c r="AC25" s="16">
        <f t="shared" si="10"/>
        <v>0</v>
      </c>
      <c r="AD25" s="16">
        <f t="shared" si="10"/>
        <v>0</v>
      </c>
      <c r="AE25" s="16">
        <f t="shared" si="10"/>
        <v>0</v>
      </c>
      <c r="AF25" s="16">
        <f t="shared" si="10"/>
        <v>1</v>
      </c>
      <c r="AG25" s="16">
        <f t="shared" si="10"/>
        <v>1</v>
      </c>
      <c r="AH25" s="16">
        <f t="shared" si="10"/>
        <v>1</v>
      </c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>
      <c r="A26" s="16" t="s">
        <v>42</v>
      </c>
      <c r="B26" s="17">
        <v>1.0</v>
      </c>
      <c r="C26" s="17">
        <v>1.0</v>
      </c>
      <c r="D26" s="16">
        <f t="shared" ref="D26:AH26" si="11">IF(D12=D$14,1,0)</f>
        <v>0</v>
      </c>
      <c r="E26" s="16">
        <f t="shared" si="11"/>
        <v>0</v>
      </c>
      <c r="F26" s="16">
        <f t="shared" si="11"/>
        <v>0</v>
      </c>
      <c r="G26" s="16">
        <f t="shared" si="11"/>
        <v>0</v>
      </c>
      <c r="H26" s="16">
        <f t="shared" si="11"/>
        <v>0</v>
      </c>
      <c r="I26" s="16">
        <f t="shared" si="11"/>
        <v>0</v>
      </c>
      <c r="J26" s="16">
        <f t="shared" si="11"/>
        <v>0</v>
      </c>
      <c r="K26" s="16">
        <f t="shared" si="11"/>
        <v>1</v>
      </c>
      <c r="L26" s="16">
        <f t="shared" si="11"/>
        <v>0</v>
      </c>
      <c r="M26" s="16">
        <f t="shared" si="11"/>
        <v>0</v>
      </c>
      <c r="N26" s="16">
        <f t="shared" si="11"/>
        <v>0</v>
      </c>
      <c r="O26" s="16">
        <f t="shared" si="11"/>
        <v>0</v>
      </c>
      <c r="P26" s="16">
        <f t="shared" si="11"/>
        <v>0</v>
      </c>
      <c r="Q26" s="16">
        <f t="shared" si="11"/>
        <v>1</v>
      </c>
      <c r="R26" s="16">
        <f t="shared" si="11"/>
        <v>0</v>
      </c>
      <c r="S26" s="16">
        <f t="shared" si="11"/>
        <v>0</v>
      </c>
      <c r="T26" s="16">
        <f t="shared" si="11"/>
        <v>0</v>
      </c>
      <c r="U26" s="16">
        <f t="shared" si="11"/>
        <v>0</v>
      </c>
      <c r="V26" s="16">
        <f t="shared" si="11"/>
        <v>1</v>
      </c>
      <c r="W26" s="16">
        <f t="shared" si="11"/>
        <v>0</v>
      </c>
      <c r="X26" s="16">
        <f t="shared" si="11"/>
        <v>0</v>
      </c>
      <c r="Y26" s="16">
        <f t="shared" si="11"/>
        <v>0</v>
      </c>
      <c r="Z26" s="16">
        <f t="shared" si="11"/>
        <v>0</v>
      </c>
      <c r="AA26" s="16">
        <f t="shared" si="11"/>
        <v>0</v>
      </c>
      <c r="AB26" s="16">
        <f t="shared" si="11"/>
        <v>1</v>
      </c>
      <c r="AC26" s="16">
        <f t="shared" si="11"/>
        <v>0</v>
      </c>
      <c r="AD26" s="16">
        <f t="shared" si="11"/>
        <v>0</v>
      </c>
      <c r="AE26" s="16">
        <f t="shared" si="11"/>
        <v>0</v>
      </c>
      <c r="AF26" s="16">
        <f t="shared" si="11"/>
        <v>0</v>
      </c>
      <c r="AG26" s="16">
        <f t="shared" si="11"/>
        <v>0</v>
      </c>
      <c r="AH26" s="16">
        <f t="shared" si="11"/>
        <v>0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>
      <c r="A27" s="16" t="s">
        <v>43</v>
      </c>
      <c r="B27" s="17">
        <v>1.0</v>
      </c>
      <c r="C27" s="17">
        <v>1.0</v>
      </c>
      <c r="D27" s="16">
        <f t="shared" ref="D27:AH27" si="12">IF(D13=D$14,1,0)</f>
        <v>1</v>
      </c>
      <c r="E27" s="16">
        <f t="shared" si="12"/>
        <v>1</v>
      </c>
      <c r="F27" s="16">
        <f t="shared" si="12"/>
        <v>1</v>
      </c>
      <c r="G27" s="16">
        <f t="shared" si="12"/>
        <v>1</v>
      </c>
      <c r="H27" s="16">
        <f t="shared" si="12"/>
        <v>1</v>
      </c>
      <c r="I27" s="16">
        <f t="shared" si="12"/>
        <v>0</v>
      </c>
      <c r="J27" s="16">
        <f t="shared" si="12"/>
        <v>0</v>
      </c>
      <c r="K27" s="16">
        <f t="shared" si="12"/>
        <v>0</v>
      </c>
      <c r="L27" s="16">
        <f t="shared" si="12"/>
        <v>1</v>
      </c>
      <c r="M27" s="16">
        <f t="shared" si="12"/>
        <v>1</v>
      </c>
      <c r="N27" s="16">
        <f t="shared" si="12"/>
        <v>1</v>
      </c>
      <c r="O27" s="16">
        <f t="shared" si="12"/>
        <v>0</v>
      </c>
      <c r="P27" s="16">
        <f t="shared" si="12"/>
        <v>0</v>
      </c>
      <c r="Q27" s="16">
        <f t="shared" si="12"/>
        <v>0</v>
      </c>
      <c r="R27" s="16">
        <f t="shared" si="12"/>
        <v>0</v>
      </c>
      <c r="S27" s="16">
        <f t="shared" si="12"/>
        <v>0</v>
      </c>
      <c r="T27" s="16">
        <f t="shared" si="12"/>
        <v>0</v>
      </c>
      <c r="U27" s="16">
        <f t="shared" si="12"/>
        <v>0</v>
      </c>
      <c r="V27" s="16">
        <f t="shared" si="12"/>
        <v>1</v>
      </c>
      <c r="W27" s="16">
        <f t="shared" si="12"/>
        <v>1</v>
      </c>
      <c r="X27" s="16">
        <f t="shared" si="12"/>
        <v>0</v>
      </c>
      <c r="Y27" s="16">
        <f t="shared" si="12"/>
        <v>1</v>
      </c>
      <c r="Z27" s="16">
        <f t="shared" si="12"/>
        <v>0</v>
      </c>
      <c r="AA27" s="16">
        <f t="shared" si="12"/>
        <v>0</v>
      </c>
      <c r="AB27" s="16">
        <f t="shared" si="12"/>
        <v>0</v>
      </c>
      <c r="AC27" s="16">
        <f t="shared" si="12"/>
        <v>1</v>
      </c>
      <c r="AD27" s="16">
        <f t="shared" si="12"/>
        <v>0</v>
      </c>
      <c r="AE27" s="16">
        <f t="shared" si="12"/>
        <v>1</v>
      </c>
      <c r="AF27" s="16">
        <f t="shared" si="12"/>
        <v>0</v>
      </c>
      <c r="AG27" s="16">
        <f t="shared" si="12"/>
        <v>0</v>
      </c>
      <c r="AH27" s="16">
        <f t="shared" si="12"/>
        <v>0</v>
      </c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>
      <c r="A28" s="18" t="s">
        <v>80</v>
      </c>
      <c r="B28" s="19">
        <v>1.0</v>
      </c>
      <c r="C28" s="19"/>
      <c r="D28" s="18" t="str">
        <f>IF(D14="E","1","0")</f>
        <v>1</v>
      </c>
      <c r="E28" s="18" t="str">
        <f>IF(E14="D","1","0")</f>
        <v>1</v>
      </c>
      <c r="F28" s="18" t="str">
        <f>IF(F14="B","1","0")</f>
        <v>1</v>
      </c>
      <c r="G28" s="18" t="str">
        <f>IF(G14="C","1","0")</f>
        <v>1</v>
      </c>
      <c r="H28" s="18" t="str">
        <f>IF(H14="A","1","0")</f>
        <v>1</v>
      </c>
      <c r="I28" s="18" t="str">
        <f>IF(I14="E","1","0")</f>
        <v>1</v>
      </c>
      <c r="J28" s="18" t="str">
        <f>IF(J14="A","1","0")</f>
        <v>1</v>
      </c>
      <c r="K28" s="18" t="str">
        <f t="shared" ref="K28:L28" si="13">IF(K14="C","1","0")</f>
        <v>1</v>
      </c>
      <c r="L28" s="18" t="str">
        <f t="shared" si="13"/>
        <v>1</v>
      </c>
      <c r="M28" s="18" t="str">
        <f>IF(M14="A","1","0")</f>
        <v>1</v>
      </c>
      <c r="N28" s="18" t="str">
        <f>IF(N14="E","1","0")</f>
        <v>1</v>
      </c>
      <c r="O28" s="18" t="str">
        <f>IF(O14="B","1","0")</f>
        <v>1</v>
      </c>
      <c r="P28" s="18" t="str">
        <f>IF(P14="E","1","0")</f>
        <v>1</v>
      </c>
      <c r="Q28" s="18" t="str">
        <f>IF(Q14="C","1","0")</f>
        <v>1</v>
      </c>
      <c r="R28" s="18" t="str">
        <f>IF(R14="D","1","0")</f>
        <v>1</v>
      </c>
      <c r="S28" s="20"/>
      <c r="T28" s="18" t="str">
        <f>IF(T14="B","1","0")</f>
        <v>1</v>
      </c>
      <c r="U28" s="18" t="str">
        <f>IF(U14="D","1","0")</f>
        <v>1</v>
      </c>
      <c r="V28" s="18" t="str">
        <f>IF(V14="E","1","0")</f>
        <v>1</v>
      </c>
      <c r="W28" s="18" t="str">
        <f t="shared" ref="W28:X28" si="14">IF(W14="D","1","0")</f>
        <v>1</v>
      </c>
      <c r="X28" s="18" t="str">
        <f t="shared" si="14"/>
        <v>1</v>
      </c>
      <c r="Y28" s="18" t="str">
        <f>IF(Y14="B","1","0")</f>
        <v>1</v>
      </c>
      <c r="Z28" s="18" t="str">
        <f>IF(Z14="A","1","0")</f>
        <v>1</v>
      </c>
      <c r="AA28" s="18" t="str">
        <f>IF(AA14="E","1","0")</f>
        <v>1</v>
      </c>
      <c r="AB28" s="18" t="str">
        <f>IF(AB14="A","1","0")</f>
        <v>1</v>
      </c>
      <c r="AC28" s="18" t="str">
        <f>IF(AC14="C","1","0")</f>
        <v>1</v>
      </c>
      <c r="AD28" s="18" t="str">
        <f>IF(AD14="B","1","0")</f>
        <v>1</v>
      </c>
      <c r="AE28" s="18" t="str">
        <f>IF(AE14="D","1","0")</f>
        <v>1</v>
      </c>
      <c r="AF28" s="18" t="str">
        <f>IF(AF14="C","1","0")</f>
        <v>1</v>
      </c>
      <c r="AG28" s="18" t="str">
        <f>IF(AG14="B","1","0")</f>
        <v>1</v>
      </c>
      <c r="AH28" s="18" t="str">
        <f>IF(AH14="A","1","0")</f>
        <v>1</v>
      </c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>
      <c r="A29" s="18" t="s">
        <v>81</v>
      </c>
      <c r="B29" s="19">
        <v>1.0</v>
      </c>
      <c r="C29" s="19"/>
      <c r="D29" s="18">
        <v>10.0</v>
      </c>
      <c r="E29" s="18">
        <v>9.0</v>
      </c>
      <c r="F29" s="18">
        <v>17.0</v>
      </c>
      <c r="G29" s="18">
        <v>8.0</v>
      </c>
      <c r="H29" s="18">
        <v>1.0</v>
      </c>
      <c r="I29" s="18">
        <v>20.0</v>
      </c>
      <c r="J29" s="18">
        <v>6.0</v>
      </c>
      <c r="K29" s="18">
        <v>28.0</v>
      </c>
      <c r="L29" s="18">
        <v>3.0</v>
      </c>
      <c r="M29" s="18">
        <v>16.0</v>
      </c>
      <c r="N29" s="18">
        <v>5.0</v>
      </c>
      <c r="O29" s="18">
        <v>12.0</v>
      </c>
      <c r="P29" s="18">
        <v>30.0</v>
      </c>
      <c r="Q29" s="18">
        <v>18.0</v>
      </c>
      <c r="R29" s="18">
        <v>4.0</v>
      </c>
      <c r="S29" s="20"/>
      <c r="T29" s="18">
        <v>22.0</v>
      </c>
      <c r="U29" s="18">
        <v>24.0</v>
      </c>
      <c r="V29" s="18">
        <v>15.0</v>
      </c>
      <c r="W29" s="18">
        <v>14.0</v>
      </c>
      <c r="X29" s="18">
        <v>19.0</v>
      </c>
      <c r="Y29" s="18">
        <v>2.0</v>
      </c>
      <c r="Z29" s="18">
        <v>21.0</v>
      </c>
      <c r="AA29" s="18">
        <v>25.0</v>
      </c>
      <c r="AB29" s="18">
        <v>11.0</v>
      </c>
      <c r="AC29" s="18">
        <v>13.0</v>
      </c>
      <c r="AD29" s="18">
        <v>27.0</v>
      </c>
      <c r="AE29" s="18">
        <v>29.0</v>
      </c>
      <c r="AF29" s="18">
        <v>23.0</v>
      </c>
      <c r="AG29" s="18">
        <v>7.0</v>
      </c>
      <c r="AH29" s="18">
        <v>26.0</v>
      </c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</row>
    <row r="30">
      <c r="A30" s="23" t="s">
        <v>82</v>
      </c>
      <c r="B30" s="24">
        <v>2.0</v>
      </c>
      <c r="C30" s="24">
        <v>2.0</v>
      </c>
      <c r="D30" s="25" t="s">
        <v>76</v>
      </c>
      <c r="E30" s="25" t="s">
        <v>75</v>
      </c>
      <c r="F30" s="25" t="s">
        <v>77</v>
      </c>
      <c r="G30" s="25" t="s">
        <v>79</v>
      </c>
      <c r="H30" s="25" t="s">
        <v>79</v>
      </c>
      <c r="I30" s="25" t="s">
        <v>78</v>
      </c>
      <c r="J30" s="25" t="s">
        <v>78</v>
      </c>
      <c r="K30" s="25" t="s">
        <v>75</v>
      </c>
      <c r="L30" s="25" t="s">
        <v>79</v>
      </c>
      <c r="M30" s="25" t="s">
        <v>77</v>
      </c>
      <c r="N30" s="25" t="s">
        <v>76</v>
      </c>
      <c r="O30" s="25" t="s">
        <v>75</v>
      </c>
      <c r="P30" s="25" t="s">
        <v>77</v>
      </c>
      <c r="Q30" s="25" t="s">
        <v>76</v>
      </c>
      <c r="R30" s="25" t="s">
        <v>75</v>
      </c>
      <c r="S30" s="24">
        <v>2.0</v>
      </c>
      <c r="T30" s="25" t="s">
        <v>77</v>
      </c>
      <c r="U30" s="25" t="s">
        <v>79</v>
      </c>
      <c r="V30" s="25" t="s">
        <v>78</v>
      </c>
      <c r="W30" s="25" t="s">
        <v>79</v>
      </c>
      <c r="X30" s="25" t="s">
        <v>78</v>
      </c>
      <c r="Y30" s="25" t="s">
        <v>76</v>
      </c>
      <c r="Z30" s="25" t="s">
        <v>78</v>
      </c>
      <c r="AA30" s="25" t="s">
        <v>75</v>
      </c>
      <c r="AB30" s="25" t="s">
        <v>78</v>
      </c>
      <c r="AC30" s="25" t="s">
        <v>79</v>
      </c>
      <c r="AD30" s="25" t="s">
        <v>79</v>
      </c>
      <c r="AE30" s="25" t="s">
        <v>77</v>
      </c>
      <c r="AF30" s="25" t="s">
        <v>78</v>
      </c>
      <c r="AG30" s="25" t="s">
        <v>75</v>
      </c>
      <c r="AH30" s="25" t="s">
        <v>76</v>
      </c>
      <c r="AI30" s="26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9"/>
      <c r="BO30" s="28"/>
      <c r="BP30" s="30"/>
      <c r="BQ30" s="30"/>
      <c r="BR30" s="31"/>
      <c r="BS30" s="31"/>
      <c r="BT30" s="31"/>
      <c r="BU30" s="31"/>
      <c r="BV30" s="31"/>
      <c r="BW30" s="31"/>
      <c r="BX30" s="31"/>
      <c r="BY30" s="31"/>
      <c r="BZ30" s="28"/>
      <c r="CA30" s="28"/>
      <c r="CB30" s="28"/>
      <c r="CC30" s="28"/>
      <c r="CD30" s="32">
        <v>15.0</v>
      </c>
      <c r="CE30" s="33" t="s">
        <v>83</v>
      </c>
      <c r="CF30" s="32" t="s">
        <v>76</v>
      </c>
    </row>
    <row r="31">
      <c r="A31" s="23" t="s">
        <v>84</v>
      </c>
      <c r="B31" s="24">
        <v>2.0</v>
      </c>
      <c r="C31" s="24">
        <v>2.0</v>
      </c>
      <c r="D31" s="25" t="s">
        <v>76</v>
      </c>
      <c r="E31" s="25" t="s">
        <v>78</v>
      </c>
      <c r="F31" s="25" t="s">
        <v>79</v>
      </c>
      <c r="G31" s="25" t="s">
        <v>75</v>
      </c>
      <c r="H31" s="25" t="s">
        <v>79</v>
      </c>
      <c r="I31" s="25" t="s">
        <v>79</v>
      </c>
      <c r="J31" s="25" t="s">
        <v>76</v>
      </c>
      <c r="K31" s="25" t="s">
        <v>78</v>
      </c>
      <c r="L31" s="25" t="s">
        <v>78</v>
      </c>
      <c r="M31" s="25" t="s">
        <v>75</v>
      </c>
      <c r="N31" s="25" t="s">
        <v>79</v>
      </c>
      <c r="O31" s="25" t="s">
        <v>75</v>
      </c>
      <c r="P31" s="25" t="s">
        <v>79</v>
      </c>
      <c r="Q31" s="25" t="s">
        <v>76</v>
      </c>
      <c r="R31" s="25" t="s">
        <v>76</v>
      </c>
      <c r="S31" s="24">
        <v>2.0</v>
      </c>
      <c r="T31" s="25" t="s">
        <v>79</v>
      </c>
      <c r="U31" s="25" t="s">
        <v>75</v>
      </c>
      <c r="V31" s="25" t="s">
        <v>78</v>
      </c>
      <c r="W31" s="25" t="s">
        <v>75</v>
      </c>
      <c r="X31" s="25" t="s">
        <v>77</v>
      </c>
      <c r="Y31" s="25" t="s">
        <v>76</v>
      </c>
      <c r="Z31" s="25" t="s">
        <v>77</v>
      </c>
      <c r="AA31" s="25" t="s">
        <v>75</v>
      </c>
      <c r="AB31" s="25" t="s">
        <v>79</v>
      </c>
      <c r="AC31" s="25" t="s">
        <v>78</v>
      </c>
      <c r="AD31" s="25" t="s">
        <v>77</v>
      </c>
      <c r="AE31" s="25" t="s">
        <v>79</v>
      </c>
      <c r="AF31" s="25" t="s">
        <v>79</v>
      </c>
      <c r="AG31" s="25" t="s">
        <v>79</v>
      </c>
      <c r="AH31" s="25" t="s">
        <v>78</v>
      </c>
      <c r="AI31" s="26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30"/>
      <c r="BQ31" s="30"/>
      <c r="BR31" s="31"/>
      <c r="BS31" s="31"/>
      <c r="BT31" s="31"/>
      <c r="BU31" s="31"/>
      <c r="BV31" s="31"/>
      <c r="BW31" s="31"/>
      <c r="BX31" s="31"/>
      <c r="BY31" s="31"/>
      <c r="BZ31" s="28"/>
      <c r="CA31" s="28"/>
      <c r="CB31" s="28"/>
      <c r="CC31" s="28"/>
      <c r="CD31" s="32">
        <v>16.0</v>
      </c>
      <c r="CE31" s="33" t="s">
        <v>85</v>
      </c>
      <c r="CF31" s="32" t="s">
        <v>77</v>
      </c>
    </row>
    <row r="32">
      <c r="A32" s="23" t="s">
        <v>34</v>
      </c>
      <c r="B32" s="24">
        <v>2.0</v>
      </c>
      <c r="C32" s="24">
        <v>2.0</v>
      </c>
      <c r="D32" s="25" t="s">
        <v>76</v>
      </c>
      <c r="E32" s="25" t="s">
        <v>75</v>
      </c>
      <c r="F32" s="25" t="s">
        <v>77</v>
      </c>
      <c r="G32" s="25" t="s">
        <v>77</v>
      </c>
      <c r="H32" s="25" t="s">
        <v>78</v>
      </c>
      <c r="I32" s="25" t="s">
        <v>76</v>
      </c>
      <c r="J32" s="25" t="s">
        <v>76</v>
      </c>
      <c r="K32" s="25" t="s">
        <v>79</v>
      </c>
      <c r="L32" s="25" t="s">
        <v>79</v>
      </c>
      <c r="M32" s="25" t="s">
        <v>75</v>
      </c>
      <c r="N32" s="25" t="s">
        <v>78</v>
      </c>
      <c r="O32" s="25" t="s">
        <v>75</v>
      </c>
      <c r="P32" s="25" t="s">
        <v>78</v>
      </c>
      <c r="Q32" s="25" t="s">
        <v>75</v>
      </c>
      <c r="R32" s="25" t="s">
        <v>76</v>
      </c>
      <c r="S32" s="24">
        <v>2.0</v>
      </c>
      <c r="T32" s="25" t="s">
        <v>77</v>
      </c>
      <c r="U32" s="25" t="s">
        <v>78</v>
      </c>
      <c r="V32" s="25" t="s">
        <v>76</v>
      </c>
      <c r="W32" s="25" t="s">
        <v>75</v>
      </c>
      <c r="X32" s="25" t="s">
        <v>77</v>
      </c>
      <c r="Y32" s="25" t="s">
        <v>76</v>
      </c>
      <c r="Z32" s="25" t="s">
        <v>77</v>
      </c>
      <c r="AA32" s="25" t="s">
        <v>75</v>
      </c>
      <c r="AB32" s="25" t="s">
        <v>78</v>
      </c>
      <c r="AC32" s="25" t="s">
        <v>78</v>
      </c>
      <c r="AD32" s="25" t="s">
        <v>79</v>
      </c>
      <c r="AE32" s="25" t="s">
        <v>75</v>
      </c>
      <c r="AF32" s="25" t="s">
        <v>77</v>
      </c>
      <c r="AG32" s="25" t="s">
        <v>79</v>
      </c>
      <c r="AH32" s="25" t="s">
        <v>76</v>
      </c>
      <c r="AI32" s="26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30"/>
      <c r="BQ32" s="30"/>
      <c r="BR32" s="31"/>
      <c r="BS32" s="31"/>
      <c r="BT32" s="31"/>
      <c r="BU32" s="31"/>
      <c r="BV32" s="31"/>
      <c r="BW32" s="31"/>
      <c r="BX32" s="31"/>
      <c r="BY32" s="31"/>
      <c r="BZ32" s="28"/>
      <c r="CA32" s="28"/>
      <c r="CB32" s="28"/>
      <c r="CC32" s="28"/>
      <c r="CD32" s="32">
        <v>17.0</v>
      </c>
      <c r="CE32" s="33" t="s">
        <v>86</v>
      </c>
      <c r="CF32" s="32" t="s">
        <v>79</v>
      </c>
    </row>
    <row r="33">
      <c r="A33" s="23" t="s">
        <v>35</v>
      </c>
      <c r="B33" s="24">
        <v>2.0</v>
      </c>
      <c r="C33" s="24">
        <v>2.0</v>
      </c>
      <c r="D33" s="25" t="s">
        <v>78</v>
      </c>
      <c r="E33" s="25" t="s">
        <v>78</v>
      </c>
      <c r="F33" s="25" t="s">
        <v>77</v>
      </c>
      <c r="G33" s="25" t="s">
        <v>77</v>
      </c>
      <c r="H33" s="25" t="s">
        <v>77</v>
      </c>
      <c r="I33" s="25" t="s">
        <v>77</v>
      </c>
      <c r="J33" s="25" t="s">
        <v>75</v>
      </c>
      <c r="K33" s="25" t="s">
        <v>77</v>
      </c>
      <c r="L33" s="25" t="s">
        <v>77</v>
      </c>
      <c r="M33" s="25" t="s">
        <v>76</v>
      </c>
      <c r="N33" s="25" t="s">
        <v>77</v>
      </c>
      <c r="O33" s="25" t="s">
        <v>78</v>
      </c>
      <c r="P33" s="25" t="s">
        <v>78</v>
      </c>
      <c r="Q33" s="25" t="s">
        <v>75</v>
      </c>
      <c r="R33" s="25" t="s">
        <v>76</v>
      </c>
      <c r="S33" s="24">
        <v>2.0</v>
      </c>
      <c r="T33" s="25" t="s">
        <v>77</v>
      </c>
      <c r="U33" s="25" t="s">
        <v>79</v>
      </c>
      <c r="V33" s="25" t="s">
        <v>76</v>
      </c>
      <c r="W33" s="25" t="s">
        <v>76</v>
      </c>
      <c r="X33" s="25" t="s">
        <v>77</v>
      </c>
      <c r="Y33" s="25" t="s">
        <v>75</v>
      </c>
      <c r="Z33" s="25" t="s">
        <v>77</v>
      </c>
      <c r="AA33" s="25" t="s">
        <v>76</v>
      </c>
      <c r="AB33" s="25" t="s">
        <v>79</v>
      </c>
      <c r="AC33" s="25" t="s">
        <v>76</v>
      </c>
      <c r="AD33" s="25" t="s">
        <v>77</v>
      </c>
      <c r="AE33" s="25" t="s">
        <v>78</v>
      </c>
      <c r="AF33" s="25" t="s">
        <v>79</v>
      </c>
      <c r="AG33" s="25" t="s">
        <v>77</v>
      </c>
      <c r="AH33" s="25" t="s">
        <v>75</v>
      </c>
      <c r="AI33" s="26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30"/>
      <c r="BQ33" s="30"/>
      <c r="BR33" s="31"/>
      <c r="BS33" s="31"/>
      <c r="BT33" s="31"/>
      <c r="BU33" s="31"/>
      <c r="BV33" s="31"/>
      <c r="BW33" s="31"/>
      <c r="BX33" s="31"/>
      <c r="BY33" s="31"/>
      <c r="BZ33" s="28"/>
      <c r="CA33" s="28"/>
      <c r="CB33" s="28"/>
      <c r="CC33" s="28"/>
      <c r="CD33" s="32">
        <v>18.0</v>
      </c>
      <c r="CE33" s="33" t="s">
        <v>87</v>
      </c>
      <c r="CF33" s="32" t="s">
        <v>78</v>
      </c>
    </row>
    <row r="34">
      <c r="A34" s="23" t="s">
        <v>36</v>
      </c>
      <c r="B34" s="24">
        <v>2.0</v>
      </c>
      <c r="C34" s="24">
        <v>2.0</v>
      </c>
      <c r="D34" s="25" t="s">
        <v>75</v>
      </c>
      <c r="E34" s="25" t="s">
        <v>77</v>
      </c>
      <c r="F34" s="25" t="s">
        <v>79</v>
      </c>
      <c r="G34" s="25" t="s">
        <v>79</v>
      </c>
      <c r="H34" s="25" t="s">
        <v>77</v>
      </c>
      <c r="I34" s="25" t="s">
        <v>78</v>
      </c>
      <c r="J34" s="25" t="s">
        <v>79</v>
      </c>
      <c r="K34" s="25" t="s">
        <v>77</v>
      </c>
      <c r="L34" s="25" t="s">
        <v>77</v>
      </c>
      <c r="M34" s="25" t="s">
        <v>79</v>
      </c>
      <c r="N34" s="25" t="s">
        <v>77</v>
      </c>
      <c r="O34" s="25" t="s">
        <v>75</v>
      </c>
      <c r="P34" s="25" t="s">
        <v>78</v>
      </c>
      <c r="Q34" s="25" t="s">
        <v>76</v>
      </c>
      <c r="R34" s="25" t="s">
        <v>76</v>
      </c>
      <c r="S34" s="24">
        <v>2.0</v>
      </c>
      <c r="T34" s="25" t="s">
        <v>77</v>
      </c>
      <c r="U34" s="25" t="s">
        <v>79</v>
      </c>
      <c r="V34" s="25" t="s">
        <v>78</v>
      </c>
      <c r="W34" s="25" t="s">
        <v>77</v>
      </c>
      <c r="X34" s="25" t="s">
        <v>79</v>
      </c>
      <c r="Y34" s="25" t="s">
        <v>76</v>
      </c>
      <c r="Z34" s="25" t="s">
        <v>79</v>
      </c>
      <c r="AA34" s="25" t="s">
        <v>78</v>
      </c>
      <c r="AB34" s="25" t="s">
        <v>75</v>
      </c>
      <c r="AC34" s="25" t="s">
        <v>76</v>
      </c>
      <c r="AD34" s="25" t="s">
        <v>77</v>
      </c>
      <c r="AE34" s="25" t="s">
        <v>75</v>
      </c>
      <c r="AF34" s="25" t="s">
        <v>76</v>
      </c>
      <c r="AG34" s="25" t="s">
        <v>77</v>
      </c>
      <c r="AH34" s="25" t="s">
        <v>75</v>
      </c>
      <c r="AI34" s="26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30"/>
      <c r="BQ34" s="30"/>
      <c r="BR34" s="31"/>
      <c r="BS34" s="31"/>
      <c r="BT34" s="31"/>
      <c r="BU34" s="31"/>
      <c r="BV34" s="31"/>
      <c r="BW34" s="31"/>
      <c r="BX34" s="31"/>
      <c r="BY34" s="31"/>
      <c r="BZ34" s="28"/>
      <c r="CA34" s="28"/>
      <c r="CB34" s="28"/>
      <c r="CC34" s="28"/>
      <c r="CD34" s="32">
        <v>19.0</v>
      </c>
      <c r="CE34" s="33" t="s">
        <v>88</v>
      </c>
      <c r="CF34" s="32" t="s">
        <v>75</v>
      </c>
    </row>
    <row r="35">
      <c r="A35" s="23" t="s">
        <v>37</v>
      </c>
      <c r="B35" s="24">
        <v>2.0</v>
      </c>
      <c r="C35" s="24">
        <v>2.0</v>
      </c>
      <c r="D35" s="25" t="s">
        <v>76</v>
      </c>
      <c r="E35" s="25" t="s">
        <v>76</v>
      </c>
      <c r="F35" s="25" t="s">
        <v>76</v>
      </c>
      <c r="G35" s="25" t="s">
        <v>77</v>
      </c>
      <c r="H35" s="25" t="s">
        <v>77</v>
      </c>
      <c r="I35" s="25" t="s">
        <v>78</v>
      </c>
      <c r="J35" s="25" t="s">
        <v>75</v>
      </c>
      <c r="K35" s="25" t="s">
        <v>78</v>
      </c>
      <c r="L35" s="25" t="s">
        <v>77</v>
      </c>
      <c r="M35" s="25" t="s">
        <v>76</v>
      </c>
      <c r="N35" s="25" t="s">
        <v>79</v>
      </c>
      <c r="O35" s="25" t="s">
        <v>76</v>
      </c>
      <c r="P35" s="25" t="s">
        <v>78</v>
      </c>
      <c r="Q35" s="25" t="s">
        <v>75</v>
      </c>
      <c r="R35" s="25" t="s">
        <v>75</v>
      </c>
      <c r="S35" s="24">
        <v>2.0</v>
      </c>
      <c r="T35" s="25" t="s">
        <v>77</v>
      </c>
      <c r="U35" s="25" t="s">
        <v>78</v>
      </c>
      <c r="V35" s="25" t="s">
        <v>76</v>
      </c>
      <c r="W35" s="25" t="s">
        <v>79</v>
      </c>
      <c r="X35" s="25" t="s">
        <v>77</v>
      </c>
      <c r="Y35" s="25" t="s">
        <v>76</v>
      </c>
      <c r="Z35" s="25" t="s">
        <v>78</v>
      </c>
      <c r="AA35" s="25" t="s">
        <v>75</v>
      </c>
      <c r="AB35" s="25" t="s">
        <v>77</v>
      </c>
      <c r="AC35" s="25" t="s">
        <v>75</v>
      </c>
      <c r="AD35" s="25" t="s">
        <v>76</v>
      </c>
      <c r="AE35" s="25" t="s">
        <v>76</v>
      </c>
      <c r="AF35" s="25" t="s">
        <v>76</v>
      </c>
      <c r="AG35" s="25" t="s">
        <v>79</v>
      </c>
      <c r="AH35" s="25" t="s">
        <v>76</v>
      </c>
      <c r="AI35" s="26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30"/>
      <c r="BQ35" s="30"/>
      <c r="BR35" s="31"/>
      <c r="BS35" s="31"/>
      <c r="BT35" s="31"/>
      <c r="BU35" s="31"/>
      <c r="BV35" s="31"/>
      <c r="BW35" s="31"/>
      <c r="BX35" s="31"/>
      <c r="BY35" s="31"/>
      <c r="BZ35" s="28"/>
      <c r="CA35" s="28"/>
      <c r="CB35" s="28"/>
      <c r="CC35" s="28"/>
      <c r="CD35" s="32">
        <v>20.0</v>
      </c>
      <c r="CE35" s="33" t="s">
        <v>89</v>
      </c>
      <c r="CF35" s="32" t="s">
        <v>76</v>
      </c>
    </row>
    <row r="36">
      <c r="A36" s="23" t="s">
        <v>38</v>
      </c>
      <c r="B36" s="24">
        <v>2.0</v>
      </c>
      <c r="C36" s="24">
        <v>1.0</v>
      </c>
      <c r="D36" s="25" t="s">
        <v>75</v>
      </c>
      <c r="E36" s="25" t="s">
        <v>77</v>
      </c>
      <c r="F36" s="25" t="s">
        <v>79</v>
      </c>
      <c r="G36" s="25" t="s">
        <v>79</v>
      </c>
      <c r="H36" s="25" t="s">
        <v>77</v>
      </c>
      <c r="I36" s="25" t="s">
        <v>77</v>
      </c>
      <c r="J36" s="25" t="s">
        <v>76</v>
      </c>
      <c r="K36" s="25" t="s">
        <v>77</v>
      </c>
      <c r="L36" s="25" t="s">
        <v>77</v>
      </c>
      <c r="M36" s="25" t="s">
        <v>77</v>
      </c>
      <c r="N36" s="25" t="s">
        <v>75</v>
      </c>
      <c r="O36" s="25" t="s">
        <v>78</v>
      </c>
      <c r="P36" s="25" t="s">
        <v>77</v>
      </c>
      <c r="Q36" s="25" t="s">
        <v>76</v>
      </c>
      <c r="R36" s="25" t="s">
        <v>76</v>
      </c>
      <c r="S36" s="24">
        <v>1.0</v>
      </c>
      <c r="T36" s="25" t="s">
        <v>77</v>
      </c>
      <c r="U36" s="25" t="s">
        <v>78</v>
      </c>
      <c r="V36" s="25" t="s">
        <v>75</v>
      </c>
      <c r="W36" s="25" t="s">
        <v>79</v>
      </c>
      <c r="X36" s="25" t="s">
        <v>77</v>
      </c>
      <c r="Y36" s="25" t="s">
        <v>76</v>
      </c>
      <c r="Z36" s="25" t="s">
        <v>75</v>
      </c>
      <c r="AA36" s="25" t="s">
        <v>76</v>
      </c>
      <c r="AB36" s="25" t="s">
        <v>79</v>
      </c>
      <c r="AC36" s="25" t="s">
        <v>78</v>
      </c>
      <c r="AD36" s="25" t="s">
        <v>77</v>
      </c>
      <c r="AE36" s="25" t="s">
        <v>77</v>
      </c>
      <c r="AF36" s="25" t="s">
        <v>79</v>
      </c>
      <c r="AG36" s="25" t="s">
        <v>77</v>
      </c>
      <c r="AH36" s="25" t="s">
        <v>77</v>
      </c>
      <c r="AI36" s="26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30"/>
      <c r="BQ36" s="30"/>
      <c r="BR36" s="31"/>
      <c r="BS36" s="31"/>
      <c r="BT36" s="31"/>
      <c r="BU36" s="31"/>
      <c r="BV36" s="31"/>
      <c r="BW36" s="31"/>
      <c r="BX36" s="31"/>
      <c r="BY36" s="31"/>
      <c r="BZ36" s="28"/>
      <c r="CA36" s="28"/>
      <c r="CB36" s="28"/>
      <c r="CC36" s="28"/>
      <c r="CD36" s="32">
        <v>21.0</v>
      </c>
      <c r="CE36" s="33" t="s">
        <v>90</v>
      </c>
      <c r="CF36" s="32" t="s">
        <v>77</v>
      </c>
    </row>
    <row r="37">
      <c r="A37" s="23" t="s">
        <v>40</v>
      </c>
      <c r="B37" s="24">
        <v>2.0</v>
      </c>
      <c r="C37" s="24">
        <v>1.0</v>
      </c>
      <c r="D37" s="25" t="s">
        <v>79</v>
      </c>
      <c r="E37" s="25" t="s">
        <v>79</v>
      </c>
      <c r="F37" s="25" t="s">
        <v>77</v>
      </c>
      <c r="G37" s="25" t="s">
        <v>79</v>
      </c>
      <c r="H37" s="25" t="s">
        <v>75</v>
      </c>
      <c r="I37" s="25" t="s">
        <v>78</v>
      </c>
      <c r="J37" s="25" t="s">
        <v>77</v>
      </c>
      <c r="K37" s="25" t="s">
        <v>77</v>
      </c>
      <c r="L37" s="25" t="s">
        <v>77</v>
      </c>
      <c r="M37" s="25" t="s">
        <v>77</v>
      </c>
      <c r="N37" s="25" t="s">
        <v>79</v>
      </c>
      <c r="O37" s="25" t="s">
        <v>79</v>
      </c>
      <c r="P37" s="25" t="s">
        <v>78</v>
      </c>
      <c r="Q37" s="25" t="s">
        <v>79</v>
      </c>
      <c r="R37" s="25" t="s">
        <v>76</v>
      </c>
      <c r="S37" s="24">
        <v>1.0</v>
      </c>
      <c r="T37" s="25" t="s">
        <v>77</v>
      </c>
      <c r="U37" s="25" t="s">
        <v>78</v>
      </c>
      <c r="V37" s="25" t="s">
        <v>79</v>
      </c>
      <c r="W37" s="25" t="s">
        <v>77</v>
      </c>
      <c r="X37" s="25" t="s">
        <v>79</v>
      </c>
      <c r="Y37" s="25" t="s">
        <v>76</v>
      </c>
      <c r="Z37" s="25" t="s">
        <v>79</v>
      </c>
      <c r="AA37" s="25" t="s">
        <v>76</v>
      </c>
      <c r="AB37" s="25" t="s">
        <v>78</v>
      </c>
      <c r="AC37" s="25" t="s">
        <v>76</v>
      </c>
      <c r="AD37" s="25" t="s">
        <v>75</v>
      </c>
      <c r="AE37" s="25" t="s">
        <v>77</v>
      </c>
      <c r="AF37" s="25" t="s">
        <v>79</v>
      </c>
      <c r="AG37" s="25" t="s">
        <v>77</v>
      </c>
      <c r="AH37" s="25" t="s">
        <v>79</v>
      </c>
      <c r="AI37" s="26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30"/>
      <c r="BQ37" s="30"/>
      <c r="BR37" s="31"/>
      <c r="BS37" s="31"/>
      <c r="BT37" s="31"/>
      <c r="BU37" s="31"/>
      <c r="BV37" s="31"/>
      <c r="BW37" s="31"/>
      <c r="BX37" s="31"/>
      <c r="BY37" s="31"/>
      <c r="BZ37" s="28"/>
      <c r="CA37" s="28"/>
      <c r="CB37" s="28"/>
      <c r="CC37" s="28"/>
      <c r="CD37" s="32">
        <v>23.0</v>
      </c>
      <c r="CE37" s="33" t="s">
        <v>91</v>
      </c>
      <c r="CF37" s="32" t="s">
        <v>78</v>
      </c>
    </row>
    <row r="38">
      <c r="A38" s="23" t="s">
        <v>92</v>
      </c>
      <c r="B38" s="24">
        <v>2.0</v>
      </c>
      <c r="C38" s="24">
        <v>1.0</v>
      </c>
      <c r="D38" s="25" t="s">
        <v>76</v>
      </c>
      <c r="E38" s="25" t="s">
        <v>75</v>
      </c>
      <c r="F38" s="25" t="s">
        <v>79</v>
      </c>
      <c r="G38" s="25" t="s">
        <v>78</v>
      </c>
      <c r="H38" s="25" t="s">
        <v>79</v>
      </c>
      <c r="I38" s="25" t="s">
        <v>77</v>
      </c>
      <c r="J38" s="25" t="s">
        <v>79</v>
      </c>
      <c r="K38" s="25" t="s">
        <v>78</v>
      </c>
      <c r="L38" s="25" t="s">
        <v>77</v>
      </c>
      <c r="M38" s="25" t="s">
        <v>77</v>
      </c>
      <c r="N38" s="25" t="s">
        <v>75</v>
      </c>
      <c r="O38" s="25" t="s">
        <v>78</v>
      </c>
      <c r="P38" s="25" t="s">
        <v>79</v>
      </c>
      <c r="Q38" s="25" t="s">
        <v>76</v>
      </c>
      <c r="R38" s="25" t="s">
        <v>76</v>
      </c>
      <c r="S38" s="24">
        <v>1.0</v>
      </c>
      <c r="T38" s="25" t="s">
        <v>79</v>
      </c>
      <c r="U38" s="25" t="s">
        <v>78</v>
      </c>
      <c r="V38" s="25" t="s">
        <v>75</v>
      </c>
      <c r="W38" s="25" t="s">
        <v>79</v>
      </c>
      <c r="X38" s="25" t="s">
        <v>79</v>
      </c>
      <c r="Y38" s="25" t="s">
        <v>75</v>
      </c>
      <c r="Z38" s="25" t="s">
        <v>78</v>
      </c>
      <c r="AA38" s="25" t="s">
        <v>75</v>
      </c>
      <c r="AB38" s="25" t="s">
        <v>79</v>
      </c>
      <c r="AC38" s="25" t="s">
        <v>79</v>
      </c>
      <c r="AD38" s="25" t="s">
        <v>78</v>
      </c>
      <c r="AE38" s="25" t="s">
        <v>79</v>
      </c>
      <c r="AF38" s="25" t="s">
        <v>78</v>
      </c>
      <c r="AG38" s="25" t="s">
        <v>77</v>
      </c>
      <c r="AH38" s="25" t="s">
        <v>78</v>
      </c>
      <c r="AI38" s="26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30"/>
      <c r="BQ38" s="30"/>
      <c r="BR38" s="31"/>
      <c r="BS38" s="31"/>
      <c r="BT38" s="31"/>
      <c r="BU38" s="31"/>
      <c r="BV38" s="31"/>
      <c r="BW38" s="31"/>
      <c r="BX38" s="31"/>
      <c r="BY38" s="31"/>
      <c r="BZ38" s="28"/>
      <c r="CA38" s="28"/>
      <c r="CB38" s="28"/>
      <c r="CC38" s="28"/>
      <c r="CD38" s="32"/>
      <c r="CE38" s="33"/>
      <c r="CF38" s="32"/>
    </row>
    <row r="39">
      <c r="A39" s="23" t="s">
        <v>41</v>
      </c>
      <c r="B39" s="24">
        <v>2.0</v>
      </c>
      <c r="C39" s="24">
        <v>1.0</v>
      </c>
      <c r="D39" s="25" t="s">
        <v>76</v>
      </c>
      <c r="E39" s="25" t="s">
        <v>78</v>
      </c>
      <c r="F39" s="25" t="s">
        <v>77</v>
      </c>
      <c r="G39" s="25" t="s">
        <v>77</v>
      </c>
      <c r="H39" s="25" t="s">
        <v>79</v>
      </c>
      <c r="I39" s="25" t="s">
        <v>79</v>
      </c>
      <c r="J39" s="25" t="s">
        <v>76</v>
      </c>
      <c r="K39" s="25" t="s">
        <v>78</v>
      </c>
      <c r="L39" s="25" t="s">
        <v>75</v>
      </c>
      <c r="M39" s="25" t="s">
        <v>75</v>
      </c>
      <c r="N39" s="25" t="s">
        <v>77</v>
      </c>
      <c r="O39" s="25" t="s">
        <v>76</v>
      </c>
      <c r="P39" s="25" t="s">
        <v>79</v>
      </c>
      <c r="Q39" s="25" t="s">
        <v>75</v>
      </c>
      <c r="R39" s="25" t="s">
        <v>76</v>
      </c>
      <c r="S39" s="24">
        <v>1.0</v>
      </c>
      <c r="T39" s="25" t="s">
        <v>79</v>
      </c>
      <c r="U39" s="25" t="s">
        <v>78</v>
      </c>
      <c r="V39" s="25" t="s">
        <v>79</v>
      </c>
      <c r="W39" s="25" t="s">
        <v>78</v>
      </c>
      <c r="X39" s="25" t="s">
        <v>77</v>
      </c>
      <c r="Y39" s="25" t="s">
        <v>76</v>
      </c>
      <c r="Z39" s="25" t="s">
        <v>77</v>
      </c>
      <c r="AA39" s="25" t="s">
        <v>76</v>
      </c>
      <c r="AB39" s="25" t="s">
        <v>78</v>
      </c>
      <c r="AC39" s="25" t="s">
        <v>79</v>
      </c>
      <c r="AD39" s="25" t="s">
        <v>78</v>
      </c>
      <c r="AE39" s="25" t="s">
        <v>79</v>
      </c>
      <c r="AF39" s="25" t="s">
        <v>78</v>
      </c>
      <c r="AG39" s="25" t="s">
        <v>79</v>
      </c>
      <c r="AH39" s="25" t="s">
        <v>75</v>
      </c>
      <c r="AI39" s="26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30"/>
      <c r="BQ39" s="30"/>
      <c r="BR39" s="31"/>
      <c r="BS39" s="31"/>
      <c r="BT39" s="31"/>
      <c r="BU39" s="31"/>
      <c r="BV39" s="31"/>
      <c r="BW39" s="31"/>
      <c r="BX39" s="31"/>
      <c r="BY39" s="31"/>
      <c r="BZ39" s="28"/>
      <c r="CA39" s="28"/>
      <c r="CB39" s="28"/>
      <c r="CC39" s="28"/>
      <c r="CD39" s="32">
        <v>24.0</v>
      </c>
      <c r="CE39" s="33" t="s">
        <v>93</v>
      </c>
      <c r="CF39" s="32" t="s">
        <v>75</v>
      </c>
    </row>
    <row r="40">
      <c r="A40" s="23" t="s">
        <v>42</v>
      </c>
      <c r="B40" s="24">
        <v>2.0</v>
      </c>
      <c r="C40" s="24">
        <v>1.0</v>
      </c>
      <c r="D40" s="25" t="s">
        <v>76</v>
      </c>
      <c r="E40" s="25" t="s">
        <v>76</v>
      </c>
      <c r="F40" s="25" t="s">
        <v>78</v>
      </c>
      <c r="G40" s="25" t="s">
        <v>79</v>
      </c>
      <c r="H40" s="25" t="s">
        <v>79</v>
      </c>
      <c r="I40" s="25" t="s">
        <v>77</v>
      </c>
      <c r="J40" s="25" t="s">
        <v>75</v>
      </c>
      <c r="K40" s="25" t="s">
        <v>79</v>
      </c>
      <c r="L40" s="25" t="s">
        <v>76</v>
      </c>
      <c r="M40" s="25" t="s">
        <v>77</v>
      </c>
      <c r="N40" s="25" t="s">
        <v>78</v>
      </c>
      <c r="O40" s="25" t="s">
        <v>76</v>
      </c>
      <c r="P40" s="25" t="s">
        <v>77</v>
      </c>
      <c r="Q40" s="25" t="s">
        <v>76</v>
      </c>
      <c r="R40" s="25" t="s">
        <v>75</v>
      </c>
      <c r="S40" s="24">
        <v>1.0</v>
      </c>
      <c r="T40" s="25" t="s">
        <v>77</v>
      </c>
      <c r="U40" s="25" t="s">
        <v>78</v>
      </c>
      <c r="V40" s="25" t="s">
        <v>78</v>
      </c>
      <c r="W40" s="25" t="s">
        <v>79</v>
      </c>
      <c r="X40" s="25" t="s">
        <v>77</v>
      </c>
      <c r="Y40" s="25" t="s">
        <v>76</v>
      </c>
      <c r="Z40" s="25" t="s">
        <v>79</v>
      </c>
      <c r="AA40" s="25" t="s">
        <v>75</v>
      </c>
      <c r="AB40" s="25" t="s">
        <v>77</v>
      </c>
      <c r="AC40" s="25" t="s">
        <v>79</v>
      </c>
      <c r="AD40" s="25" t="s">
        <v>77</v>
      </c>
      <c r="AE40" s="25" t="s">
        <v>78</v>
      </c>
      <c r="AF40" s="25" t="s">
        <v>79</v>
      </c>
      <c r="AG40" s="25" t="s">
        <v>77</v>
      </c>
      <c r="AH40" s="25" t="s">
        <v>76</v>
      </c>
      <c r="AI40" s="26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30"/>
      <c r="BQ40" s="30"/>
      <c r="BR40" s="31"/>
      <c r="BS40" s="31"/>
      <c r="BT40" s="31"/>
      <c r="BU40" s="31"/>
      <c r="BV40" s="31"/>
      <c r="BW40" s="31"/>
      <c r="BX40" s="31"/>
      <c r="BY40" s="31"/>
      <c r="BZ40" s="28"/>
      <c r="CA40" s="28"/>
      <c r="CB40" s="28"/>
      <c r="CC40" s="28"/>
      <c r="CD40" s="32">
        <v>25.0</v>
      </c>
      <c r="CE40" s="33" t="s">
        <v>94</v>
      </c>
      <c r="CF40" s="32" t="s">
        <v>76</v>
      </c>
    </row>
    <row r="41">
      <c r="A41" s="23" t="s">
        <v>43</v>
      </c>
      <c r="B41" s="24">
        <v>2.0</v>
      </c>
      <c r="C41" s="24">
        <v>1.0</v>
      </c>
      <c r="D41" s="25" t="s">
        <v>76</v>
      </c>
      <c r="E41" s="25" t="s">
        <v>75</v>
      </c>
      <c r="F41" s="25" t="s">
        <v>77</v>
      </c>
      <c r="G41" s="25" t="s">
        <v>77</v>
      </c>
      <c r="H41" s="25" t="s">
        <v>77</v>
      </c>
      <c r="I41" s="25" t="s">
        <v>79</v>
      </c>
      <c r="J41" s="25" t="s">
        <v>76</v>
      </c>
      <c r="K41" s="25" t="s">
        <v>77</v>
      </c>
      <c r="L41" s="25" t="s">
        <v>79</v>
      </c>
      <c r="M41" s="25" t="s">
        <v>75</v>
      </c>
      <c r="N41" s="25" t="s">
        <v>79</v>
      </c>
      <c r="O41" s="25" t="s">
        <v>76</v>
      </c>
      <c r="P41" s="25" t="s">
        <v>78</v>
      </c>
      <c r="Q41" s="25" t="s">
        <v>76</v>
      </c>
      <c r="R41" s="25" t="s">
        <v>76</v>
      </c>
      <c r="S41" s="24">
        <v>1.0</v>
      </c>
      <c r="T41" s="25" t="s">
        <v>79</v>
      </c>
      <c r="U41" s="25" t="s">
        <v>75</v>
      </c>
      <c r="V41" s="25" t="s">
        <v>79</v>
      </c>
      <c r="W41" s="25" t="s">
        <v>75</v>
      </c>
      <c r="X41" s="25" t="s">
        <v>77</v>
      </c>
      <c r="Y41" s="25" t="s">
        <v>76</v>
      </c>
      <c r="Z41" s="25" t="s">
        <v>77</v>
      </c>
      <c r="AA41" s="25" t="s">
        <v>75</v>
      </c>
      <c r="AB41" s="25" t="s">
        <v>79</v>
      </c>
      <c r="AC41" s="25" t="s">
        <v>78</v>
      </c>
      <c r="AD41" s="25" t="s">
        <v>79</v>
      </c>
      <c r="AE41" s="25" t="s">
        <v>79</v>
      </c>
      <c r="AF41" s="25" t="s">
        <v>75</v>
      </c>
      <c r="AG41" s="25" t="s">
        <v>79</v>
      </c>
      <c r="AH41" s="25" t="s">
        <v>76</v>
      </c>
      <c r="AI41" s="34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6"/>
      <c r="BQ41" s="36"/>
      <c r="BR41" s="37"/>
      <c r="BS41" s="37"/>
      <c r="BT41" s="37"/>
      <c r="BU41" s="37"/>
      <c r="BV41" s="37"/>
      <c r="BW41" s="37"/>
      <c r="BX41" s="37"/>
      <c r="BY41" s="37"/>
      <c r="BZ41" s="35"/>
      <c r="CA41" s="35"/>
      <c r="CB41" s="35"/>
      <c r="CC41" s="35"/>
      <c r="CD41" s="32">
        <v>26.0</v>
      </c>
      <c r="CE41" s="33" t="s">
        <v>95</v>
      </c>
      <c r="CF41" s="32" t="s">
        <v>77</v>
      </c>
    </row>
    <row r="42">
      <c r="A42" s="23" t="s">
        <v>80</v>
      </c>
      <c r="B42" s="38">
        <v>2.0</v>
      </c>
      <c r="C42" s="38" t="s">
        <v>96</v>
      </c>
      <c r="D42" s="23" t="s">
        <v>76</v>
      </c>
      <c r="E42" s="23" t="s">
        <v>78</v>
      </c>
      <c r="F42" s="23" t="s">
        <v>79</v>
      </c>
      <c r="G42" s="23" t="s">
        <v>78</v>
      </c>
      <c r="H42" s="23" t="s">
        <v>75</v>
      </c>
      <c r="I42" s="23" t="s">
        <v>77</v>
      </c>
      <c r="J42" s="23" t="s">
        <v>75</v>
      </c>
      <c r="K42" s="23" t="s">
        <v>76</v>
      </c>
      <c r="L42" s="23" t="s">
        <v>77</v>
      </c>
      <c r="M42" s="23" t="s">
        <v>78</v>
      </c>
      <c r="N42" s="23" t="s">
        <v>79</v>
      </c>
      <c r="O42" s="23" t="s">
        <v>75</v>
      </c>
      <c r="P42" s="23" t="s">
        <v>79</v>
      </c>
      <c r="Q42" s="23" t="s">
        <v>76</v>
      </c>
      <c r="R42" s="23" t="s">
        <v>75</v>
      </c>
      <c r="S42" s="38" t="s">
        <v>96</v>
      </c>
      <c r="T42" s="23" t="s">
        <v>77</v>
      </c>
      <c r="U42" s="23" t="s">
        <v>75</v>
      </c>
      <c r="V42" s="23" t="s">
        <v>75</v>
      </c>
      <c r="W42" s="23" t="s">
        <v>78</v>
      </c>
      <c r="X42" s="23" t="s">
        <v>77</v>
      </c>
      <c r="Y42" s="23" t="s">
        <v>76</v>
      </c>
      <c r="Z42" s="23" t="s">
        <v>77</v>
      </c>
      <c r="AA42" s="23" t="s">
        <v>76</v>
      </c>
      <c r="AB42" s="23" t="s">
        <v>79</v>
      </c>
      <c r="AC42" s="23" t="s">
        <v>76</v>
      </c>
      <c r="AD42" s="23" t="s">
        <v>77</v>
      </c>
      <c r="AE42" s="23" t="s">
        <v>79</v>
      </c>
      <c r="AF42" s="23" t="s">
        <v>78</v>
      </c>
      <c r="AG42" s="23" t="s">
        <v>79</v>
      </c>
      <c r="AH42" s="23" t="s">
        <v>78</v>
      </c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</row>
    <row r="43">
      <c r="A43" s="23" t="s">
        <v>97</v>
      </c>
      <c r="B43" s="38">
        <v>2.0</v>
      </c>
      <c r="C43" s="38" t="s">
        <v>96</v>
      </c>
      <c r="D43" s="23">
        <v>15.0</v>
      </c>
      <c r="E43" s="23">
        <v>13.0</v>
      </c>
      <c r="F43" s="23">
        <v>22.0</v>
      </c>
      <c r="G43" s="23">
        <v>18.0</v>
      </c>
      <c r="H43" s="23">
        <v>19.0</v>
      </c>
      <c r="I43" s="23">
        <v>1.0</v>
      </c>
      <c r="J43" s="23">
        <v>9.0</v>
      </c>
      <c r="K43" s="23">
        <v>20.0</v>
      </c>
      <c r="L43" s="23">
        <v>11.0</v>
      </c>
      <c r="M43" s="23">
        <v>28.0</v>
      </c>
      <c r="N43" s="23">
        <v>27.0</v>
      </c>
      <c r="O43" s="23">
        <v>14.0</v>
      </c>
      <c r="P43" s="23">
        <v>12.0</v>
      </c>
      <c r="Q43" s="23">
        <v>5.0</v>
      </c>
      <c r="R43" s="23">
        <v>4.0</v>
      </c>
      <c r="S43" s="38" t="s">
        <v>96</v>
      </c>
      <c r="T43" s="23">
        <v>16.0</v>
      </c>
      <c r="U43" s="23">
        <v>29.0</v>
      </c>
      <c r="V43" s="23">
        <v>24.0</v>
      </c>
      <c r="W43" s="23">
        <v>3.0</v>
      </c>
      <c r="X43" s="23">
        <v>21.0</v>
      </c>
      <c r="Y43" s="23">
        <v>10.0</v>
      </c>
      <c r="Z43" s="23">
        <v>26.0</v>
      </c>
      <c r="AA43" s="23">
        <v>30.0</v>
      </c>
      <c r="AB43" s="23">
        <v>7.0</v>
      </c>
      <c r="AC43" s="23">
        <v>25.0</v>
      </c>
      <c r="AD43" s="23">
        <v>6.0</v>
      </c>
      <c r="AE43" s="23">
        <v>2.0</v>
      </c>
      <c r="AF43" s="23">
        <v>23.0</v>
      </c>
      <c r="AG43" s="23">
        <v>17.0</v>
      </c>
      <c r="AH43" s="23">
        <v>8.0</v>
      </c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</row>
    <row r="44">
      <c r="A44" s="23" t="s">
        <v>82</v>
      </c>
      <c r="B44" s="38">
        <v>2.0</v>
      </c>
      <c r="C44" s="38">
        <v>2.0</v>
      </c>
      <c r="D44" s="23">
        <f t="shared" ref="D44:AH44" si="15">IF(D2=D$42,1,0)</f>
        <v>0</v>
      </c>
      <c r="E44" s="23">
        <f t="shared" si="15"/>
        <v>0</v>
      </c>
      <c r="F44" s="23">
        <f t="shared" si="15"/>
        <v>0</v>
      </c>
      <c r="G44" s="23">
        <f t="shared" si="15"/>
        <v>1</v>
      </c>
      <c r="H44" s="23">
        <f t="shared" si="15"/>
        <v>0</v>
      </c>
      <c r="I44" s="23">
        <f t="shared" si="15"/>
        <v>0</v>
      </c>
      <c r="J44" s="23">
        <f t="shared" si="15"/>
        <v>0</v>
      </c>
      <c r="K44" s="23">
        <f t="shared" si="15"/>
        <v>0</v>
      </c>
      <c r="L44" s="23">
        <f t="shared" si="15"/>
        <v>0</v>
      </c>
      <c r="M44" s="23">
        <f t="shared" si="15"/>
        <v>0</v>
      </c>
      <c r="N44" s="23">
        <f t="shared" si="15"/>
        <v>0</v>
      </c>
      <c r="O44" s="23">
        <f t="shared" si="15"/>
        <v>1</v>
      </c>
      <c r="P44" s="23">
        <f t="shared" si="15"/>
        <v>1</v>
      </c>
      <c r="Q44" s="23">
        <f t="shared" si="15"/>
        <v>0</v>
      </c>
      <c r="R44" s="23">
        <f t="shared" si="15"/>
        <v>0</v>
      </c>
      <c r="S44" s="23">
        <f t="shared" si="15"/>
        <v>0</v>
      </c>
      <c r="T44" s="23">
        <f t="shared" si="15"/>
        <v>1</v>
      </c>
      <c r="U44" s="23">
        <f t="shared" si="15"/>
        <v>0</v>
      </c>
      <c r="V44" s="23">
        <f t="shared" si="15"/>
        <v>1</v>
      </c>
      <c r="W44" s="23">
        <f t="shared" si="15"/>
        <v>0</v>
      </c>
      <c r="X44" s="23">
        <f t="shared" si="15"/>
        <v>0</v>
      </c>
      <c r="Y44" s="23">
        <f t="shared" si="15"/>
        <v>0</v>
      </c>
      <c r="Z44" s="23">
        <f t="shared" si="15"/>
        <v>1</v>
      </c>
      <c r="AA44" s="23">
        <f t="shared" si="15"/>
        <v>0</v>
      </c>
      <c r="AB44" s="23">
        <f t="shared" si="15"/>
        <v>0</v>
      </c>
      <c r="AC44" s="23">
        <f t="shared" si="15"/>
        <v>0</v>
      </c>
      <c r="AD44" s="23">
        <f t="shared" si="15"/>
        <v>0</v>
      </c>
      <c r="AE44" s="23">
        <f t="shared" si="15"/>
        <v>0</v>
      </c>
      <c r="AF44" s="23">
        <f t="shared" si="15"/>
        <v>1</v>
      </c>
      <c r="AG44" s="23">
        <f t="shared" si="15"/>
        <v>0</v>
      </c>
      <c r="AH44" s="23">
        <f t="shared" si="15"/>
        <v>0</v>
      </c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</row>
    <row r="45">
      <c r="A45" s="23" t="s">
        <v>84</v>
      </c>
      <c r="B45" s="38">
        <v>2.0</v>
      </c>
      <c r="C45" s="38">
        <v>2.0</v>
      </c>
      <c r="D45" s="23">
        <f t="shared" ref="D45:AH45" si="16">IF(D3=D$42,1,0)</f>
        <v>1</v>
      </c>
      <c r="E45" s="23">
        <f t="shared" si="16"/>
        <v>0</v>
      </c>
      <c r="F45" s="23">
        <f t="shared" si="16"/>
        <v>0</v>
      </c>
      <c r="G45" s="23">
        <f t="shared" si="16"/>
        <v>1</v>
      </c>
      <c r="H45" s="23">
        <f t="shared" si="16"/>
        <v>0</v>
      </c>
      <c r="I45" s="23">
        <f t="shared" si="16"/>
        <v>1</v>
      </c>
      <c r="J45" s="23">
        <f t="shared" si="16"/>
        <v>0</v>
      </c>
      <c r="K45" s="23">
        <f t="shared" si="16"/>
        <v>0</v>
      </c>
      <c r="L45" s="23">
        <f t="shared" si="16"/>
        <v>0</v>
      </c>
      <c r="M45" s="23">
        <f t="shared" si="16"/>
        <v>0</v>
      </c>
      <c r="N45" s="23">
        <f t="shared" si="16"/>
        <v>0</v>
      </c>
      <c r="O45" s="23">
        <f t="shared" si="16"/>
        <v>0</v>
      </c>
      <c r="P45" s="23">
        <f t="shared" si="16"/>
        <v>0</v>
      </c>
      <c r="Q45" s="23">
        <f t="shared" si="16"/>
        <v>0</v>
      </c>
      <c r="R45" s="23">
        <f t="shared" si="16"/>
        <v>0</v>
      </c>
      <c r="S45" s="23">
        <f t="shared" si="16"/>
        <v>0</v>
      </c>
      <c r="T45" s="23">
        <f t="shared" si="16"/>
        <v>0</v>
      </c>
      <c r="U45" s="23">
        <f t="shared" si="16"/>
        <v>0</v>
      </c>
      <c r="V45" s="23">
        <f t="shared" si="16"/>
        <v>0</v>
      </c>
      <c r="W45" s="23">
        <f t="shared" si="16"/>
        <v>0</v>
      </c>
      <c r="X45" s="23">
        <f t="shared" si="16"/>
        <v>0</v>
      </c>
      <c r="Y45" s="23">
        <f t="shared" si="16"/>
        <v>0</v>
      </c>
      <c r="Z45" s="23">
        <f t="shared" si="16"/>
        <v>1</v>
      </c>
      <c r="AA45" s="23">
        <f t="shared" si="16"/>
        <v>1</v>
      </c>
      <c r="AB45" s="23">
        <f t="shared" si="16"/>
        <v>1</v>
      </c>
      <c r="AC45" s="23">
        <f t="shared" si="16"/>
        <v>0</v>
      </c>
      <c r="AD45" s="23">
        <f t="shared" si="16"/>
        <v>1</v>
      </c>
      <c r="AE45" s="23">
        <f t="shared" si="16"/>
        <v>0</v>
      </c>
      <c r="AF45" s="23">
        <f t="shared" si="16"/>
        <v>0</v>
      </c>
      <c r="AG45" s="23">
        <f t="shared" si="16"/>
        <v>0</v>
      </c>
      <c r="AH45" s="23">
        <f t="shared" si="16"/>
        <v>0</v>
      </c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</row>
    <row r="46">
      <c r="A46" s="23" t="s">
        <v>34</v>
      </c>
      <c r="B46" s="38">
        <v>2.0</v>
      </c>
      <c r="C46" s="38">
        <v>2.0</v>
      </c>
      <c r="D46" s="23">
        <f t="shared" ref="D46:AH46" si="17">IF(D4=D$42,1,0)</f>
        <v>0</v>
      </c>
      <c r="E46" s="23">
        <f t="shared" si="17"/>
        <v>0</v>
      </c>
      <c r="F46" s="23">
        <f t="shared" si="17"/>
        <v>0</v>
      </c>
      <c r="G46" s="23">
        <f t="shared" si="17"/>
        <v>0</v>
      </c>
      <c r="H46" s="23">
        <f t="shared" si="17"/>
        <v>0</v>
      </c>
      <c r="I46" s="23">
        <f t="shared" si="17"/>
        <v>0</v>
      </c>
      <c r="J46" s="23">
        <f t="shared" si="17"/>
        <v>0</v>
      </c>
      <c r="K46" s="23">
        <f t="shared" si="17"/>
        <v>0</v>
      </c>
      <c r="L46" s="23">
        <f t="shared" si="17"/>
        <v>0</v>
      </c>
      <c r="M46" s="23">
        <f t="shared" si="17"/>
        <v>0</v>
      </c>
      <c r="N46" s="23">
        <f t="shared" si="17"/>
        <v>0</v>
      </c>
      <c r="O46" s="23">
        <f t="shared" si="17"/>
        <v>0</v>
      </c>
      <c r="P46" s="23">
        <f t="shared" si="17"/>
        <v>0</v>
      </c>
      <c r="Q46" s="23">
        <f t="shared" si="17"/>
        <v>0</v>
      </c>
      <c r="R46" s="23">
        <f t="shared" si="17"/>
        <v>0</v>
      </c>
      <c r="S46" s="23">
        <f t="shared" si="17"/>
        <v>0</v>
      </c>
      <c r="T46" s="23">
        <f t="shared" si="17"/>
        <v>0</v>
      </c>
      <c r="U46" s="23">
        <f t="shared" si="17"/>
        <v>0</v>
      </c>
      <c r="V46" s="23">
        <f t="shared" si="17"/>
        <v>0</v>
      </c>
      <c r="W46" s="23">
        <f t="shared" si="17"/>
        <v>0</v>
      </c>
      <c r="X46" s="23">
        <f t="shared" si="17"/>
        <v>0</v>
      </c>
      <c r="Y46" s="23">
        <f t="shared" si="17"/>
        <v>0</v>
      </c>
      <c r="Z46" s="23">
        <f t="shared" si="17"/>
        <v>1</v>
      </c>
      <c r="AA46" s="23">
        <f t="shared" si="17"/>
        <v>0</v>
      </c>
      <c r="AB46" s="23">
        <f t="shared" si="17"/>
        <v>0</v>
      </c>
      <c r="AC46" s="23">
        <f t="shared" si="17"/>
        <v>0</v>
      </c>
      <c r="AD46" s="23">
        <f t="shared" si="17"/>
        <v>1</v>
      </c>
      <c r="AE46" s="23">
        <f t="shared" si="17"/>
        <v>1</v>
      </c>
      <c r="AF46" s="23">
        <f t="shared" si="17"/>
        <v>0</v>
      </c>
      <c r="AG46" s="23">
        <f t="shared" si="17"/>
        <v>0</v>
      </c>
      <c r="AH46" s="23">
        <f t="shared" si="17"/>
        <v>0</v>
      </c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</row>
    <row r="47">
      <c r="A47" s="23" t="s">
        <v>35</v>
      </c>
      <c r="B47" s="38">
        <v>2.0</v>
      </c>
      <c r="C47" s="38">
        <v>2.0</v>
      </c>
      <c r="D47" s="23">
        <f t="shared" ref="D47:AH47" si="18">IF(D5=D$42,1,0)</f>
        <v>0</v>
      </c>
      <c r="E47" s="23">
        <f t="shared" si="18"/>
        <v>1</v>
      </c>
      <c r="F47" s="23">
        <f t="shared" si="18"/>
        <v>0</v>
      </c>
      <c r="G47" s="23">
        <f t="shared" si="18"/>
        <v>0</v>
      </c>
      <c r="H47" s="23">
        <f t="shared" si="18"/>
        <v>0</v>
      </c>
      <c r="I47" s="23">
        <f t="shared" si="18"/>
        <v>1</v>
      </c>
      <c r="J47" s="23">
        <f t="shared" si="18"/>
        <v>1</v>
      </c>
      <c r="K47" s="23">
        <f t="shared" si="18"/>
        <v>0</v>
      </c>
      <c r="L47" s="23">
        <f t="shared" si="18"/>
        <v>0</v>
      </c>
      <c r="M47" s="23">
        <f t="shared" si="18"/>
        <v>0</v>
      </c>
      <c r="N47" s="23">
        <f t="shared" si="18"/>
        <v>0</v>
      </c>
      <c r="O47" s="23">
        <f t="shared" si="18"/>
        <v>0</v>
      </c>
      <c r="P47" s="23">
        <f t="shared" si="18"/>
        <v>0</v>
      </c>
      <c r="Q47" s="23">
        <f t="shared" si="18"/>
        <v>0</v>
      </c>
      <c r="R47" s="23">
        <f t="shared" si="18"/>
        <v>1</v>
      </c>
      <c r="S47" s="23">
        <f t="shared" si="18"/>
        <v>0</v>
      </c>
      <c r="T47" s="23">
        <f t="shared" si="18"/>
        <v>1</v>
      </c>
      <c r="U47" s="23">
        <f t="shared" si="18"/>
        <v>0</v>
      </c>
      <c r="V47" s="23">
        <f t="shared" si="18"/>
        <v>0</v>
      </c>
      <c r="W47" s="23">
        <f t="shared" si="18"/>
        <v>0</v>
      </c>
      <c r="X47" s="23">
        <f t="shared" si="18"/>
        <v>1</v>
      </c>
      <c r="Y47" s="23">
        <f t="shared" si="18"/>
        <v>1</v>
      </c>
      <c r="Z47" s="23">
        <f t="shared" si="18"/>
        <v>1</v>
      </c>
      <c r="AA47" s="23">
        <f t="shared" si="18"/>
        <v>1</v>
      </c>
      <c r="AB47" s="23">
        <f t="shared" si="18"/>
        <v>0</v>
      </c>
      <c r="AC47" s="23">
        <f t="shared" si="18"/>
        <v>0</v>
      </c>
      <c r="AD47" s="23">
        <f t="shared" si="18"/>
        <v>1</v>
      </c>
      <c r="AE47" s="23">
        <f t="shared" si="18"/>
        <v>0</v>
      </c>
      <c r="AF47" s="23">
        <f t="shared" si="18"/>
        <v>0</v>
      </c>
      <c r="AG47" s="23">
        <f t="shared" si="18"/>
        <v>0</v>
      </c>
      <c r="AH47" s="23">
        <f t="shared" si="18"/>
        <v>0</v>
      </c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</row>
    <row r="48">
      <c r="A48" s="23" t="s">
        <v>36</v>
      </c>
      <c r="B48" s="38">
        <v>2.0</v>
      </c>
      <c r="C48" s="38">
        <v>2.0</v>
      </c>
      <c r="D48" s="23">
        <f t="shared" ref="D48:AH48" si="19">IF(D6=D$42,1,0)</f>
        <v>1</v>
      </c>
      <c r="E48" s="23">
        <f t="shared" si="19"/>
        <v>0</v>
      </c>
      <c r="F48" s="23">
        <f t="shared" si="19"/>
        <v>0</v>
      </c>
      <c r="G48" s="23">
        <f t="shared" si="19"/>
        <v>0</v>
      </c>
      <c r="H48" s="23">
        <f t="shared" si="19"/>
        <v>0</v>
      </c>
      <c r="I48" s="23">
        <f t="shared" si="19"/>
        <v>1</v>
      </c>
      <c r="J48" s="23">
        <f t="shared" si="19"/>
        <v>0</v>
      </c>
      <c r="K48" s="23">
        <f t="shared" si="19"/>
        <v>0</v>
      </c>
      <c r="L48" s="23">
        <f t="shared" si="19"/>
        <v>0</v>
      </c>
      <c r="M48" s="23">
        <f t="shared" si="19"/>
        <v>0</v>
      </c>
      <c r="N48" s="23">
        <f t="shared" si="19"/>
        <v>0</v>
      </c>
      <c r="O48" s="23">
        <f t="shared" si="19"/>
        <v>0</v>
      </c>
      <c r="P48" s="23">
        <f t="shared" si="19"/>
        <v>0</v>
      </c>
      <c r="Q48" s="23">
        <f t="shared" si="19"/>
        <v>0</v>
      </c>
      <c r="R48" s="23">
        <f t="shared" si="19"/>
        <v>0</v>
      </c>
      <c r="S48" s="23">
        <f t="shared" si="19"/>
        <v>0</v>
      </c>
      <c r="T48" s="23">
        <f t="shared" si="19"/>
        <v>1</v>
      </c>
      <c r="U48" s="23">
        <f t="shared" si="19"/>
        <v>0</v>
      </c>
      <c r="V48" s="23">
        <f t="shared" si="19"/>
        <v>1</v>
      </c>
      <c r="W48" s="23">
        <f t="shared" si="19"/>
        <v>1</v>
      </c>
      <c r="X48" s="23">
        <f t="shared" si="19"/>
        <v>1</v>
      </c>
      <c r="Y48" s="23">
        <f t="shared" si="19"/>
        <v>0</v>
      </c>
      <c r="Z48" s="23">
        <f t="shared" si="19"/>
        <v>0</v>
      </c>
      <c r="AA48" s="23">
        <f t="shared" si="19"/>
        <v>0</v>
      </c>
      <c r="AB48" s="23">
        <f t="shared" si="19"/>
        <v>0</v>
      </c>
      <c r="AC48" s="23">
        <f t="shared" si="19"/>
        <v>0</v>
      </c>
      <c r="AD48" s="23">
        <f t="shared" si="19"/>
        <v>0</v>
      </c>
      <c r="AE48" s="23">
        <f t="shared" si="19"/>
        <v>0</v>
      </c>
      <c r="AF48" s="23">
        <f t="shared" si="19"/>
        <v>0</v>
      </c>
      <c r="AG48" s="23">
        <f t="shared" si="19"/>
        <v>0</v>
      </c>
      <c r="AH48" s="23">
        <f t="shared" si="19"/>
        <v>0</v>
      </c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</row>
    <row r="49">
      <c r="A49" s="23" t="s">
        <v>37</v>
      </c>
      <c r="B49" s="38">
        <v>2.0</v>
      </c>
      <c r="C49" s="38">
        <v>2.0</v>
      </c>
      <c r="D49" s="23">
        <f t="shared" ref="D49:AH49" si="20">IF(D7=D$42,1,0)</f>
        <v>0</v>
      </c>
      <c r="E49" s="23">
        <f t="shared" si="20"/>
        <v>1</v>
      </c>
      <c r="F49" s="23">
        <f t="shared" si="20"/>
        <v>0</v>
      </c>
      <c r="G49" s="23">
        <f t="shared" si="20"/>
        <v>0</v>
      </c>
      <c r="H49" s="23">
        <f t="shared" si="20"/>
        <v>0</v>
      </c>
      <c r="I49" s="23">
        <f t="shared" si="20"/>
        <v>0</v>
      </c>
      <c r="J49" s="23">
        <f t="shared" si="20"/>
        <v>0</v>
      </c>
      <c r="K49" s="23">
        <f t="shared" si="20"/>
        <v>0</v>
      </c>
      <c r="L49" s="23">
        <f t="shared" si="20"/>
        <v>1</v>
      </c>
      <c r="M49" s="23">
        <f t="shared" si="20"/>
        <v>0</v>
      </c>
      <c r="N49" s="23">
        <f t="shared" si="20"/>
        <v>0</v>
      </c>
      <c r="O49" s="23">
        <f t="shared" si="20"/>
        <v>0</v>
      </c>
      <c r="P49" s="23">
        <f t="shared" si="20"/>
        <v>0</v>
      </c>
      <c r="Q49" s="23">
        <f t="shared" si="20"/>
        <v>0</v>
      </c>
      <c r="R49" s="23">
        <f t="shared" si="20"/>
        <v>1</v>
      </c>
      <c r="S49" s="23">
        <f t="shared" si="20"/>
        <v>0</v>
      </c>
      <c r="T49" s="23">
        <f t="shared" si="20"/>
        <v>1</v>
      </c>
      <c r="U49" s="23">
        <f t="shared" si="20"/>
        <v>0</v>
      </c>
      <c r="V49" s="23">
        <f t="shared" si="20"/>
        <v>1</v>
      </c>
      <c r="W49" s="23">
        <f t="shared" si="20"/>
        <v>0</v>
      </c>
      <c r="X49" s="23">
        <f t="shared" si="20"/>
        <v>1</v>
      </c>
      <c r="Y49" s="23">
        <f t="shared" si="20"/>
        <v>0</v>
      </c>
      <c r="Z49" s="23">
        <f t="shared" si="20"/>
        <v>1</v>
      </c>
      <c r="AA49" s="23">
        <f t="shared" si="20"/>
        <v>0</v>
      </c>
      <c r="AB49" s="23">
        <f t="shared" si="20"/>
        <v>0</v>
      </c>
      <c r="AC49" s="23">
        <f t="shared" si="20"/>
        <v>0</v>
      </c>
      <c r="AD49" s="23">
        <f t="shared" si="20"/>
        <v>0</v>
      </c>
      <c r="AE49" s="23">
        <f t="shared" si="20"/>
        <v>0</v>
      </c>
      <c r="AF49" s="23">
        <f t="shared" si="20"/>
        <v>0</v>
      </c>
      <c r="AG49" s="23">
        <f t="shared" si="20"/>
        <v>0</v>
      </c>
      <c r="AH49" s="23">
        <f t="shared" si="20"/>
        <v>1</v>
      </c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</row>
    <row r="50">
      <c r="A50" s="23" t="s">
        <v>38</v>
      </c>
      <c r="B50" s="38">
        <v>2.0</v>
      </c>
      <c r="C50" s="38">
        <v>1.0</v>
      </c>
      <c r="D50" s="23">
        <f t="shared" ref="D50:AH50" si="21">IF(D8=D$42,1,0)</f>
        <v>0</v>
      </c>
      <c r="E50" s="23">
        <f t="shared" si="21"/>
        <v>0</v>
      </c>
      <c r="F50" s="23">
        <f t="shared" si="21"/>
        <v>0</v>
      </c>
      <c r="G50" s="23">
        <f t="shared" si="21"/>
        <v>0</v>
      </c>
      <c r="H50" s="23">
        <f t="shared" si="21"/>
        <v>0</v>
      </c>
      <c r="I50" s="23">
        <f t="shared" si="21"/>
        <v>1</v>
      </c>
      <c r="J50" s="23">
        <f t="shared" si="21"/>
        <v>0</v>
      </c>
      <c r="K50" s="23">
        <f t="shared" si="21"/>
        <v>0</v>
      </c>
      <c r="L50" s="23">
        <f t="shared" si="21"/>
        <v>0</v>
      </c>
      <c r="M50" s="23">
        <f t="shared" si="21"/>
        <v>0</v>
      </c>
      <c r="N50" s="23">
        <f t="shared" si="21"/>
        <v>0</v>
      </c>
      <c r="O50" s="23">
        <f t="shared" si="21"/>
        <v>0</v>
      </c>
      <c r="P50" s="23">
        <f t="shared" si="21"/>
        <v>0</v>
      </c>
      <c r="Q50" s="23">
        <f t="shared" si="21"/>
        <v>0</v>
      </c>
      <c r="R50" s="23">
        <f t="shared" si="21"/>
        <v>0</v>
      </c>
      <c r="S50" s="23">
        <f t="shared" si="21"/>
        <v>0</v>
      </c>
      <c r="T50" s="23">
        <f t="shared" si="21"/>
        <v>1</v>
      </c>
      <c r="U50" s="23">
        <f t="shared" si="21"/>
        <v>0</v>
      </c>
      <c r="V50" s="23">
        <f t="shared" si="21"/>
        <v>0</v>
      </c>
      <c r="W50" s="23">
        <f t="shared" si="21"/>
        <v>0</v>
      </c>
      <c r="X50" s="23">
        <f t="shared" si="21"/>
        <v>0</v>
      </c>
      <c r="Y50" s="23">
        <f t="shared" si="21"/>
        <v>0</v>
      </c>
      <c r="Z50" s="23">
        <f t="shared" si="21"/>
        <v>1</v>
      </c>
      <c r="AA50" s="23">
        <f t="shared" si="21"/>
        <v>0</v>
      </c>
      <c r="AB50" s="23">
        <f t="shared" si="21"/>
        <v>0</v>
      </c>
      <c r="AC50" s="23">
        <f t="shared" si="21"/>
        <v>0</v>
      </c>
      <c r="AD50" s="23">
        <f t="shared" si="21"/>
        <v>1</v>
      </c>
      <c r="AE50" s="23">
        <f t="shared" si="21"/>
        <v>1</v>
      </c>
      <c r="AF50" s="23">
        <f t="shared" si="21"/>
        <v>0</v>
      </c>
      <c r="AG50" s="23">
        <f t="shared" si="21"/>
        <v>0</v>
      </c>
      <c r="AH50" s="23">
        <f t="shared" si="21"/>
        <v>0</v>
      </c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</row>
    <row r="51">
      <c r="A51" s="23" t="s">
        <v>40</v>
      </c>
      <c r="B51" s="38">
        <v>2.0</v>
      </c>
      <c r="C51" s="38">
        <v>1.0</v>
      </c>
      <c r="D51" s="23">
        <f t="shared" ref="D51:AH51" si="22">IF(D9=D$42,1,0)</f>
        <v>1</v>
      </c>
      <c r="E51" s="23">
        <f t="shared" si="22"/>
        <v>0</v>
      </c>
      <c r="F51" s="23">
        <f t="shared" si="22"/>
        <v>0</v>
      </c>
      <c r="G51" s="23">
        <f t="shared" si="22"/>
        <v>0</v>
      </c>
      <c r="H51" s="23">
        <f t="shared" si="22"/>
        <v>0</v>
      </c>
      <c r="I51" s="23">
        <f t="shared" si="22"/>
        <v>0</v>
      </c>
      <c r="J51" s="23">
        <f t="shared" si="22"/>
        <v>0</v>
      </c>
      <c r="K51" s="23">
        <f t="shared" si="22"/>
        <v>0</v>
      </c>
      <c r="L51" s="23">
        <f t="shared" si="22"/>
        <v>0</v>
      </c>
      <c r="M51" s="23">
        <f t="shared" si="22"/>
        <v>1</v>
      </c>
      <c r="N51" s="23">
        <f t="shared" si="22"/>
        <v>0</v>
      </c>
      <c r="O51" s="23">
        <f t="shared" si="22"/>
        <v>0</v>
      </c>
      <c r="P51" s="23">
        <f t="shared" si="22"/>
        <v>0</v>
      </c>
      <c r="Q51" s="23">
        <f t="shared" si="22"/>
        <v>0</v>
      </c>
      <c r="R51" s="23">
        <f t="shared" si="22"/>
        <v>0</v>
      </c>
      <c r="S51" s="23">
        <f t="shared" si="22"/>
        <v>0</v>
      </c>
      <c r="T51" s="23">
        <f t="shared" si="22"/>
        <v>0</v>
      </c>
      <c r="U51" s="23">
        <f t="shared" si="22"/>
        <v>1</v>
      </c>
      <c r="V51" s="23">
        <f t="shared" si="22"/>
        <v>0</v>
      </c>
      <c r="W51" s="23">
        <f t="shared" si="22"/>
        <v>1</v>
      </c>
      <c r="X51" s="23">
        <f t="shared" si="22"/>
        <v>0</v>
      </c>
      <c r="Y51" s="23">
        <f t="shared" si="22"/>
        <v>0</v>
      </c>
      <c r="Z51" s="23">
        <f t="shared" si="22"/>
        <v>0</v>
      </c>
      <c r="AA51" s="23">
        <f t="shared" si="22"/>
        <v>0</v>
      </c>
      <c r="AB51" s="23">
        <f t="shared" si="22"/>
        <v>1</v>
      </c>
      <c r="AC51" s="23">
        <f t="shared" si="22"/>
        <v>0</v>
      </c>
      <c r="AD51" s="23">
        <f t="shared" si="22"/>
        <v>0</v>
      </c>
      <c r="AE51" s="23">
        <f t="shared" si="22"/>
        <v>0</v>
      </c>
      <c r="AF51" s="23">
        <f t="shared" si="22"/>
        <v>0</v>
      </c>
      <c r="AG51" s="23">
        <f t="shared" si="22"/>
        <v>0</v>
      </c>
      <c r="AH51" s="23">
        <f t="shared" si="22"/>
        <v>0</v>
      </c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</row>
    <row r="52">
      <c r="A52" s="23" t="s">
        <v>92</v>
      </c>
      <c r="B52" s="38">
        <v>2.0</v>
      </c>
      <c r="C52" s="38">
        <v>1.0</v>
      </c>
      <c r="D52" s="23">
        <f t="shared" ref="D52:AH52" si="23">IF(D10=D$42,1,0)</f>
        <v>0</v>
      </c>
      <c r="E52" s="23">
        <f t="shared" si="23"/>
        <v>0</v>
      </c>
      <c r="F52" s="23">
        <f t="shared" si="23"/>
        <v>0</v>
      </c>
      <c r="G52" s="23">
        <f t="shared" si="23"/>
        <v>1</v>
      </c>
      <c r="H52" s="23">
        <f t="shared" si="23"/>
        <v>0</v>
      </c>
      <c r="I52" s="23">
        <f t="shared" si="23"/>
        <v>0</v>
      </c>
      <c r="J52" s="23">
        <f t="shared" si="23"/>
        <v>0</v>
      </c>
      <c r="K52" s="23">
        <f t="shared" si="23"/>
        <v>0</v>
      </c>
      <c r="L52" s="23">
        <f t="shared" si="23"/>
        <v>0</v>
      </c>
      <c r="M52" s="23">
        <f t="shared" si="23"/>
        <v>0</v>
      </c>
      <c r="N52" s="23">
        <f t="shared" si="23"/>
        <v>0</v>
      </c>
      <c r="O52" s="23">
        <f t="shared" si="23"/>
        <v>0</v>
      </c>
      <c r="P52" s="23">
        <f t="shared" si="23"/>
        <v>1</v>
      </c>
      <c r="Q52" s="23">
        <f t="shared" si="23"/>
        <v>0</v>
      </c>
      <c r="R52" s="23">
        <f t="shared" si="23"/>
        <v>1</v>
      </c>
      <c r="S52" s="23">
        <f t="shared" si="23"/>
        <v>0</v>
      </c>
      <c r="T52" s="23">
        <f t="shared" si="23"/>
        <v>0</v>
      </c>
      <c r="U52" s="23">
        <f t="shared" si="23"/>
        <v>0</v>
      </c>
      <c r="V52" s="23">
        <f t="shared" si="23"/>
        <v>1</v>
      </c>
      <c r="W52" s="23">
        <f t="shared" si="23"/>
        <v>1</v>
      </c>
      <c r="X52" s="23">
        <f t="shared" si="23"/>
        <v>0</v>
      </c>
      <c r="Y52" s="23">
        <f t="shared" si="23"/>
        <v>0</v>
      </c>
      <c r="Z52" s="23">
        <f t="shared" si="23"/>
        <v>0</v>
      </c>
      <c r="AA52" s="23">
        <f t="shared" si="23"/>
        <v>0</v>
      </c>
      <c r="AB52" s="23">
        <f t="shared" si="23"/>
        <v>0</v>
      </c>
      <c r="AC52" s="23">
        <f t="shared" si="23"/>
        <v>0</v>
      </c>
      <c r="AD52" s="23">
        <f t="shared" si="23"/>
        <v>0</v>
      </c>
      <c r="AE52" s="23">
        <f t="shared" si="23"/>
        <v>0</v>
      </c>
      <c r="AF52" s="23">
        <f t="shared" si="23"/>
        <v>0</v>
      </c>
      <c r="AG52" s="23">
        <f t="shared" si="23"/>
        <v>0</v>
      </c>
      <c r="AH52" s="23">
        <f t="shared" si="23"/>
        <v>0</v>
      </c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</row>
    <row r="53">
      <c r="A53" s="23" t="s">
        <v>41</v>
      </c>
      <c r="B53" s="38">
        <v>2.0</v>
      </c>
      <c r="C53" s="38">
        <v>1.0</v>
      </c>
      <c r="D53" s="23">
        <f t="shared" ref="D53:AH53" si="24">IF(D11=D$42,1,0)</f>
        <v>1</v>
      </c>
      <c r="E53" s="23">
        <f t="shared" si="24"/>
        <v>0</v>
      </c>
      <c r="F53" s="23">
        <f t="shared" si="24"/>
        <v>1</v>
      </c>
      <c r="G53" s="23">
        <f t="shared" si="24"/>
        <v>0</v>
      </c>
      <c r="H53" s="23">
        <f t="shared" si="24"/>
        <v>0</v>
      </c>
      <c r="I53" s="23">
        <f t="shared" si="24"/>
        <v>0</v>
      </c>
      <c r="J53" s="23">
        <f t="shared" si="24"/>
        <v>0</v>
      </c>
      <c r="K53" s="23">
        <f t="shared" si="24"/>
        <v>0</v>
      </c>
      <c r="L53" s="23">
        <f t="shared" si="24"/>
        <v>0</v>
      </c>
      <c r="M53" s="23">
        <f t="shared" si="24"/>
        <v>0</v>
      </c>
      <c r="N53" s="23">
        <f t="shared" si="24"/>
        <v>0</v>
      </c>
      <c r="O53" s="23">
        <f t="shared" si="24"/>
        <v>0</v>
      </c>
      <c r="P53" s="23">
        <f t="shared" si="24"/>
        <v>0</v>
      </c>
      <c r="Q53" s="23">
        <f t="shared" si="24"/>
        <v>0</v>
      </c>
      <c r="R53" s="23">
        <f t="shared" si="24"/>
        <v>0</v>
      </c>
      <c r="S53" s="23">
        <f t="shared" si="24"/>
        <v>0</v>
      </c>
      <c r="T53" s="23">
        <f t="shared" si="24"/>
        <v>1</v>
      </c>
      <c r="U53" s="23">
        <f t="shared" si="24"/>
        <v>0</v>
      </c>
      <c r="V53" s="23">
        <f t="shared" si="24"/>
        <v>0</v>
      </c>
      <c r="W53" s="23">
        <f t="shared" si="24"/>
        <v>0</v>
      </c>
      <c r="X53" s="23">
        <f t="shared" si="24"/>
        <v>0</v>
      </c>
      <c r="Y53" s="23">
        <f t="shared" si="24"/>
        <v>0</v>
      </c>
      <c r="Z53" s="23">
        <f t="shared" si="24"/>
        <v>1</v>
      </c>
      <c r="AA53" s="23">
        <f t="shared" si="24"/>
        <v>0</v>
      </c>
      <c r="AB53" s="23">
        <f t="shared" si="24"/>
        <v>0</v>
      </c>
      <c r="AC53" s="23">
        <f t="shared" si="24"/>
        <v>0</v>
      </c>
      <c r="AD53" s="23">
        <f t="shared" si="24"/>
        <v>0</v>
      </c>
      <c r="AE53" s="23">
        <f t="shared" si="24"/>
        <v>0</v>
      </c>
      <c r="AF53" s="23">
        <f t="shared" si="24"/>
        <v>1</v>
      </c>
      <c r="AG53" s="23">
        <f t="shared" si="24"/>
        <v>1</v>
      </c>
      <c r="AH53" s="23">
        <f t="shared" si="24"/>
        <v>0</v>
      </c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</row>
    <row r="54">
      <c r="A54" s="23" t="s">
        <v>42</v>
      </c>
      <c r="B54" s="38">
        <v>2.0</v>
      </c>
      <c r="C54" s="38">
        <v>1.0</v>
      </c>
      <c r="D54" s="23">
        <f t="shared" ref="D54:AH54" si="25">IF(D12=D$42,1,0)</f>
        <v>0</v>
      </c>
      <c r="E54" s="23">
        <f t="shared" si="25"/>
        <v>0</v>
      </c>
      <c r="F54" s="23">
        <f t="shared" si="25"/>
        <v>0</v>
      </c>
      <c r="G54" s="23">
        <f t="shared" si="25"/>
        <v>0</v>
      </c>
      <c r="H54" s="23">
        <f t="shared" si="25"/>
        <v>1</v>
      </c>
      <c r="I54" s="23">
        <f t="shared" si="25"/>
        <v>0</v>
      </c>
      <c r="J54" s="23">
        <f t="shared" si="25"/>
        <v>0</v>
      </c>
      <c r="K54" s="23">
        <f t="shared" si="25"/>
        <v>0</v>
      </c>
      <c r="L54" s="23">
        <f t="shared" si="25"/>
        <v>1</v>
      </c>
      <c r="M54" s="23">
        <f t="shared" si="25"/>
        <v>0</v>
      </c>
      <c r="N54" s="23">
        <f t="shared" si="25"/>
        <v>1</v>
      </c>
      <c r="O54" s="23">
        <f t="shared" si="25"/>
        <v>0</v>
      </c>
      <c r="P54" s="23">
        <f t="shared" si="25"/>
        <v>0</v>
      </c>
      <c r="Q54" s="23">
        <f t="shared" si="25"/>
        <v>0</v>
      </c>
      <c r="R54" s="23">
        <f t="shared" si="25"/>
        <v>0</v>
      </c>
      <c r="S54" s="23">
        <f t="shared" si="25"/>
        <v>0</v>
      </c>
      <c r="T54" s="23">
        <f t="shared" si="25"/>
        <v>1</v>
      </c>
      <c r="U54" s="23">
        <f t="shared" si="25"/>
        <v>0</v>
      </c>
      <c r="V54" s="23">
        <f t="shared" si="25"/>
        <v>0</v>
      </c>
      <c r="W54" s="23">
        <f t="shared" si="25"/>
        <v>0</v>
      </c>
      <c r="X54" s="23">
        <f t="shared" si="25"/>
        <v>1</v>
      </c>
      <c r="Y54" s="23">
        <f t="shared" si="25"/>
        <v>0</v>
      </c>
      <c r="Z54" s="23">
        <f t="shared" si="25"/>
        <v>0</v>
      </c>
      <c r="AA54" s="23">
        <f t="shared" si="25"/>
        <v>0</v>
      </c>
      <c r="AB54" s="23">
        <f t="shared" si="25"/>
        <v>0</v>
      </c>
      <c r="AC54" s="23">
        <f t="shared" si="25"/>
        <v>1</v>
      </c>
      <c r="AD54" s="23">
        <f t="shared" si="25"/>
        <v>1</v>
      </c>
      <c r="AE54" s="23">
        <f t="shared" si="25"/>
        <v>0</v>
      </c>
      <c r="AF54" s="23">
        <f t="shared" si="25"/>
        <v>0</v>
      </c>
      <c r="AG54" s="23">
        <f t="shared" si="25"/>
        <v>0</v>
      </c>
      <c r="AH54" s="23">
        <f t="shared" si="25"/>
        <v>0</v>
      </c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</row>
    <row r="55">
      <c r="A55" s="23" t="s">
        <v>43</v>
      </c>
      <c r="B55" s="38">
        <v>2.0</v>
      </c>
      <c r="C55" s="38">
        <v>1.0</v>
      </c>
      <c r="D55" s="23">
        <f t="shared" ref="D55:AH55" si="26">IF(D13=D$42,1,0)</f>
        <v>1</v>
      </c>
      <c r="E55" s="23">
        <f t="shared" si="26"/>
        <v>0</v>
      </c>
      <c r="F55" s="23">
        <f t="shared" si="26"/>
        <v>1</v>
      </c>
      <c r="G55" s="23">
        <f t="shared" si="26"/>
        <v>1</v>
      </c>
      <c r="H55" s="23">
        <f t="shared" si="26"/>
        <v>0</v>
      </c>
      <c r="I55" s="23">
        <f t="shared" si="26"/>
        <v>0</v>
      </c>
      <c r="J55" s="23">
        <f t="shared" si="26"/>
        <v>0</v>
      </c>
      <c r="K55" s="23">
        <f t="shared" si="26"/>
        <v>0</v>
      </c>
      <c r="L55" s="23">
        <f t="shared" si="26"/>
        <v>0</v>
      </c>
      <c r="M55" s="23">
        <f t="shared" si="26"/>
        <v>0</v>
      </c>
      <c r="N55" s="23">
        <f t="shared" si="26"/>
        <v>0</v>
      </c>
      <c r="O55" s="23">
        <f t="shared" si="26"/>
        <v>0</v>
      </c>
      <c r="P55" s="23">
        <f t="shared" si="26"/>
        <v>0</v>
      </c>
      <c r="Q55" s="23">
        <f t="shared" si="26"/>
        <v>0</v>
      </c>
      <c r="R55" s="23">
        <f t="shared" si="26"/>
        <v>0</v>
      </c>
      <c r="S55" s="23">
        <f t="shared" si="26"/>
        <v>0</v>
      </c>
      <c r="T55" s="23">
        <f t="shared" si="26"/>
        <v>1</v>
      </c>
      <c r="U55" s="23">
        <f t="shared" si="26"/>
        <v>0</v>
      </c>
      <c r="V55" s="23">
        <f t="shared" si="26"/>
        <v>0</v>
      </c>
      <c r="W55" s="23">
        <f t="shared" si="26"/>
        <v>0</v>
      </c>
      <c r="X55" s="23">
        <f t="shared" si="26"/>
        <v>0</v>
      </c>
      <c r="Y55" s="23">
        <f t="shared" si="26"/>
        <v>0</v>
      </c>
      <c r="Z55" s="23">
        <f t="shared" si="26"/>
        <v>0</v>
      </c>
      <c r="AA55" s="23">
        <f t="shared" si="26"/>
        <v>0</v>
      </c>
      <c r="AB55" s="23">
        <f t="shared" si="26"/>
        <v>1</v>
      </c>
      <c r="AC55" s="23">
        <f t="shared" si="26"/>
        <v>0</v>
      </c>
      <c r="AD55" s="23">
        <f t="shared" si="26"/>
        <v>1</v>
      </c>
      <c r="AE55" s="23">
        <f t="shared" si="26"/>
        <v>0</v>
      </c>
      <c r="AF55" s="23">
        <f t="shared" si="26"/>
        <v>0</v>
      </c>
      <c r="AG55" s="23">
        <f t="shared" si="26"/>
        <v>0</v>
      </c>
      <c r="AH55" s="23">
        <f t="shared" si="26"/>
        <v>0</v>
      </c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</row>
    <row r="56">
      <c r="A56" s="23" t="s">
        <v>80</v>
      </c>
      <c r="B56" s="38">
        <v>2.0</v>
      </c>
      <c r="C56" s="38" t="s">
        <v>96</v>
      </c>
      <c r="D56" s="23" t="str">
        <f>IF(D42="E","1","0")</f>
        <v>1</v>
      </c>
      <c r="E56" s="23" t="str">
        <f>IF(E42="C","1","0")</f>
        <v>1</v>
      </c>
      <c r="F56" s="23" t="str">
        <f>IF(F42="B","1","0")</f>
        <v>1</v>
      </c>
      <c r="G56" s="23" t="str">
        <f>IF(G42="C","1","0")</f>
        <v>1</v>
      </c>
      <c r="H56" s="23" t="str">
        <f>IF(H42="D","1","0")</f>
        <v>1</v>
      </c>
      <c r="I56" s="23" t="str">
        <f>IF(I42="A","1","0")</f>
        <v>1</v>
      </c>
      <c r="J56" s="23" t="str">
        <f>IF(J42="D","1","0")</f>
        <v>1</v>
      </c>
      <c r="K56" s="23" t="str">
        <f>IF(K42="E","1","0")</f>
        <v>1</v>
      </c>
      <c r="L56" s="23" t="str">
        <f>IF(L42="A","1","0")</f>
        <v>1</v>
      </c>
      <c r="M56" s="23" t="str">
        <f>IF(M42="C","1","0")</f>
        <v>1</v>
      </c>
      <c r="N56" s="23" t="str">
        <f>IF(N42="B","1","0")</f>
        <v>1</v>
      </c>
      <c r="O56" s="23" t="str">
        <f>IF(O42="D","1","0")</f>
        <v>1</v>
      </c>
      <c r="P56" s="23" t="str">
        <f>IF(P42="B","1","0")</f>
        <v>1</v>
      </c>
      <c r="Q56" s="23" t="str">
        <f>IF(Q42="E","1","0")</f>
        <v>1</v>
      </c>
      <c r="R56" s="23" t="str">
        <f>IF(R42="D","1","0")</f>
        <v>1</v>
      </c>
      <c r="S56" s="38" t="s">
        <v>96</v>
      </c>
      <c r="T56" s="23" t="str">
        <f>IF(T42="A","1","0")</f>
        <v>1</v>
      </c>
      <c r="U56" s="23" t="str">
        <f t="shared" ref="U56:V56" si="27">IF(U42="D","1","0")</f>
        <v>1</v>
      </c>
      <c r="V56" s="23" t="str">
        <f t="shared" si="27"/>
        <v>1</v>
      </c>
      <c r="W56" s="23" t="str">
        <f>IF(W42="C","1","0")</f>
        <v>1</v>
      </c>
      <c r="X56" s="23" t="str">
        <f>IF(X42="A","1","0")</f>
        <v>1</v>
      </c>
      <c r="Y56" s="23" t="str">
        <f>IF(Y42="E","1","0")</f>
        <v>1</v>
      </c>
      <c r="Z56" s="42" t="str">
        <f>IF(Z42="A","1","0")</f>
        <v>1</v>
      </c>
      <c r="AA56" s="23" t="str">
        <f>IF(AA42="E","1","0")</f>
        <v>1</v>
      </c>
      <c r="AB56" s="23" t="str">
        <f>IF(AB42="B","1","0")</f>
        <v>1</v>
      </c>
      <c r="AC56" s="23" t="str">
        <f>IF(AC42="E","1","0")</f>
        <v>1</v>
      </c>
      <c r="AD56" s="23" t="str">
        <f>IF(AD42="A","1","0")</f>
        <v>1</v>
      </c>
      <c r="AE56" s="23" t="str">
        <f>IF(AE42="B","1","0")</f>
        <v>1</v>
      </c>
      <c r="AF56" s="23" t="str">
        <f>IF(AF42="C","1","0")</f>
        <v>1</v>
      </c>
      <c r="AG56" s="23" t="str">
        <f>IF(AG42="B","1","0")</f>
        <v>1</v>
      </c>
      <c r="AH56" s="23" t="str">
        <f>IF(AH42="C","1","0")</f>
        <v>1</v>
      </c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</row>
    <row r="57">
      <c r="A57" s="23" t="s">
        <v>97</v>
      </c>
      <c r="B57" s="38">
        <v>2.0</v>
      </c>
      <c r="C57" s="38" t="s">
        <v>96</v>
      </c>
      <c r="D57" s="23">
        <v>15.0</v>
      </c>
      <c r="E57" s="23">
        <v>13.0</v>
      </c>
      <c r="F57" s="23">
        <v>22.0</v>
      </c>
      <c r="G57" s="23">
        <v>18.0</v>
      </c>
      <c r="H57" s="23">
        <v>19.0</v>
      </c>
      <c r="I57" s="23">
        <v>1.0</v>
      </c>
      <c r="J57" s="23">
        <v>9.0</v>
      </c>
      <c r="K57" s="23">
        <v>20.0</v>
      </c>
      <c r="L57" s="23">
        <v>11.0</v>
      </c>
      <c r="M57" s="23">
        <v>28.0</v>
      </c>
      <c r="N57" s="23">
        <v>27.0</v>
      </c>
      <c r="O57" s="23">
        <v>14.0</v>
      </c>
      <c r="P57" s="23">
        <v>12.0</v>
      </c>
      <c r="Q57" s="23">
        <v>5.0</v>
      </c>
      <c r="R57" s="23">
        <v>4.0</v>
      </c>
      <c r="S57" s="38" t="s">
        <v>96</v>
      </c>
      <c r="T57" s="23">
        <v>16.0</v>
      </c>
      <c r="U57" s="23">
        <v>29.0</v>
      </c>
      <c r="V57" s="23">
        <v>24.0</v>
      </c>
      <c r="W57" s="23">
        <v>3.0</v>
      </c>
      <c r="X57" s="23">
        <v>21.0</v>
      </c>
      <c r="Y57" s="23">
        <v>10.0</v>
      </c>
      <c r="Z57" s="23">
        <v>26.0</v>
      </c>
      <c r="AA57" s="23">
        <v>30.0</v>
      </c>
      <c r="AB57" s="23">
        <v>7.0</v>
      </c>
      <c r="AC57" s="23">
        <v>25.0</v>
      </c>
      <c r="AD57" s="23">
        <v>6.0</v>
      </c>
      <c r="AE57" s="23">
        <v>2.0</v>
      </c>
      <c r="AF57" s="23">
        <v>23.0</v>
      </c>
      <c r="AG57" s="23">
        <v>17.0</v>
      </c>
      <c r="AH57" s="23">
        <v>8.0</v>
      </c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</row>
    <row r="58" hidden="1">
      <c r="A58" s="41" t="s">
        <v>82</v>
      </c>
      <c r="B58" s="44">
        <v>3.0</v>
      </c>
      <c r="C58" s="44">
        <v>2.0</v>
      </c>
      <c r="D58" s="41" t="s">
        <v>76</v>
      </c>
      <c r="E58" s="41" t="s">
        <v>79</v>
      </c>
      <c r="F58" s="41" t="s">
        <v>75</v>
      </c>
      <c r="G58" s="41" t="s">
        <v>78</v>
      </c>
      <c r="H58" s="41" t="s">
        <v>79</v>
      </c>
      <c r="I58" s="41" t="s">
        <v>78</v>
      </c>
      <c r="J58" s="41" t="s">
        <v>76</v>
      </c>
      <c r="K58" s="41" t="s">
        <v>77</v>
      </c>
      <c r="L58" s="41" t="s">
        <v>75</v>
      </c>
      <c r="M58" s="41" t="s">
        <v>77</v>
      </c>
      <c r="N58" s="41" t="s">
        <v>79</v>
      </c>
      <c r="O58" s="41" t="s">
        <v>77</v>
      </c>
      <c r="P58" s="41" t="s">
        <v>78</v>
      </c>
      <c r="Q58" s="41" t="s">
        <v>77</v>
      </c>
      <c r="R58" s="41" t="s">
        <v>75</v>
      </c>
      <c r="S58" s="44">
        <v>2.0</v>
      </c>
      <c r="T58" s="41" t="s">
        <v>75</v>
      </c>
      <c r="U58" s="41" t="s">
        <v>78</v>
      </c>
      <c r="V58" s="41" t="s">
        <v>77</v>
      </c>
      <c r="W58" s="41" t="s">
        <v>78</v>
      </c>
      <c r="X58" s="41" t="s">
        <v>77</v>
      </c>
      <c r="Y58" s="41" t="s">
        <v>77</v>
      </c>
      <c r="Z58" s="41" t="s">
        <v>78</v>
      </c>
      <c r="AA58" s="41" t="s">
        <v>76</v>
      </c>
      <c r="AB58" s="41" t="s">
        <v>75</v>
      </c>
      <c r="AC58" s="41" t="s">
        <v>77</v>
      </c>
      <c r="AD58" s="41" t="s">
        <v>75</v>
      </c>
      <c r="AE58" s="41" t="s">
        <v>79</v>
      </c>
      <c r="AF58" s="41" t="s">
        <v>79</v>
      </c>
      <c r="AG58" s="41" t="s">
        <v>79</v>
      </c>
      <c r="AH58" s="41" t="s">
        <v>77</v>
      </c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</row>
    <row r="59" hidden="1">
      <c r="A59" s="41" t="s">
        <v>84</v>
      </c>
      <c r="B59" s="44">
        <v>3.0</v>
      </c>
      <c r="C59" s="44">
        <v>2.0</v>
      </c>
      <c r="D59" s="41" t="s">
        <v>76</v>
      </c>
      <c r="E59" s="41" t="s">
        <v>79</v>
      </c>
      <c r="F59" s="41" t="s">
        <v>75</v>
      </c>
      <c r="G59" s="41" t="s">
        <v>78</v>
      </c>
      <c r="H59" s="41" t="s">
        <v>78</v>
      </c>
      <c r="I59" s="41" t="s">
        <v>79</v>
      </c>
      <c r="J59" s="41" t="s">
        <v>76</v>
      </c>
      <c r="K59" s="41" t="s">
        <v>79</v>
      </c>
      <c r="L59" s="41" t="s">
        <v>75</v>
      </c>
      <c r="M59" s="41" t="s">
        <v>79</v>
      </c>
      <c r="N59" s="41" t="s">
        <v>77</v>
      </c>
      <c r="O59" s="41" t="s">
        <v>78</v>
      </c>
      <c r="P59" s="41" t="s">
        <v>75</v>
      </c>
      <c r="Q59" s="41" t="s">
        <v>78</v>
      </c>
      <c r="R59" s="41" t="s">
        <v>75</v>
      </c>
      <c r="S59" s="44">
        <v>2.0</v>
      </c>
      <c r="T59" s="41" t="s">
        <v>75</v>
      </c>
      <c r="U59" s="41" t="s">
        <v>78</v>
      </c>
      <c r="V59" s="41" t="s">
        <v>77</v>
      </c>
      <c r="W59" s="41" t="s">
        <v>78</v>
      </c>
      <c r="X59" s="41" t="s">
        <v>78</v>
      </c>
      <c r="Y59" s="41" t="s">
        <v>79</v>
      </c>
      <c r="Z59" s="41" t="s">
        <v>79</v>
      </c>
      <c r="AA59" s="41" t="s">
        <v>75</v>
      </c>
      <c r="AB59" s="41" t="s">
        <v>78</v>
      </c>
      <c r="AC59" s="41" t="s">
        <v>77</v>
      </c>
      <c r="AD59" s="41" t="s">
        <v>76</v>
      </c>
      <c r="AE59" s="41" t="s">
        <v>77</v>
      </c>
      <c r="AF59" s="41" t="s">
        <v>79</v>
      </c>
      <c r="AG59" s="41" t="s">
        <v>77</v>
      </c>
      <c r="AH59" s="41" t="s">
        <v>79</v>
      </c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</row>
    <row r="60" hidden="1">
      <c r="A60" s="41" t="s">
        <v>34</v>
      </c>
      <c r="B60" s="44">
        <v>3.0</v>
      </c>
      <c r="C60" s="44">
        <v>2.0</v>
      </c>
      <c r="D60" s="41" t="s">
        <v>75</v>
      </c>
      <c r="E60" s="41" t="s">
        <v>77</v>
      </c>
      <c r="F60" s="41" t="s">
        <v>76</v>
      </c>
      <c r="G60" s="41" t="s">
        <v>78</v>
      </c>
      <c r="H60" s="41" t="s">
        <v>78</v>
      </c>
      <c r="I60" s="41" t="s">
        <v>75</v>
      </c>
      <c r="J60" s="41" t="s">
        <v>76</v>
      </c>
      <c r="K60" s="41" t="s">
        <v>79</v>
      </c>
      <c r="L60" s="41" t="s">
        <v>75</v>
      </c>
      <c r="M60" s="41" t="s">
        <v>77</v>
      </c>
      <c r="N60" s="41" t="s">
        <v>77</v>
      </c>
      <c r="O60" s="41" t="s">
        <v>75</v>
      </c>
      <c r="P60" s="41" t="s">
        <v>78</v>
      </c>
      <c r="Q60" s="41" t="s">
        <v>79</v>
      </c>
      <c r="R60" s="41" t="s">
        <v>76</v>
      </c>
      <c r="S60" s="44">
        <v>2.0</v>
      </c>
      <c r="T60" s="41" t="s">
        <v>76</v>
      </c>
      <c r="U60" s="41" t="s">
        <v>78</v>
      </c>
      <c r="V60" s="41" t="s">
        <v>77</v>
      </c>
      <c r="W60" s="41" t="s">
        <v>75</v>
      </c>
      <c r="X60" s="41" t="s">
        <v>77</v>
      </c>
      <c r="Y60" s="41" t="s">
        <v>78</v>
      </c>
      <c r="Z60" s="41" t="s">
        <v>79</v>
      </c>
      <c r="AA60" s="41" t="s">
        <v>76</v>
      </c>
      <c r="AB60" s="41" t="s">
        <v>79</v>
      </c>
      <c r="AC60" s="41" t="s">
        <v>78</v>
      </c>
      <c r="AD60" s="41" t="s">
        <v>75</v>
      </c>
      <c r="AE60" s="41" t="s">
        <v>77</v>
      </c>
      <c r="AF60" s="41" t="s">
        <v>79</v>
      </c>
      <c r="AG60" s="41" t="s">
        <v>77</v>
      </c>
      <c r="AH60" s="41" t="s">
        <v>75</v>
      </c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</row>
    <row r="61" hidden="1">
      <c r="A61" s="41" t="s">
        <v>35</v>
      </c>
      <c r="B61" s="44">
        <v>3.0</v>
      </c>
      <c r="C61" s="44">
        <v>2.0</v>
      </c>
      <c r="D61" s="41" t="s">
        <v>75</v>
      </c>
      <c r="E61" s="41" t="s">
        <v>79</v>
      </c>
      <c r="F61" s="41" t="s">
        <v>78</v>
      </c>
      <c r="G61" s="41" t="s">
        <v>75</v>
      </c>
      <c r="H61" s="41" t="s">
        <v>76</v>
      </c>
      <c r="I61" s="41" t="s">
        <v>78</v>
      </c>
      <c r="J61" s="41" t="s">
        <v>75</v>
      </c>
      <c r="K61" s="41" t="s">
        <v>79</v>
      </c>
      <c r="L61" s="41" t="s">
        <v>75</v>
      </c>
      <c r="M61" s="41" t="s">
        <v>79</v>
      </c>
      <c r="N61" s="41" t="s">
        <v>79</v>
      </c>
      <c r="O61" s="41" t="s">
        <v>76</v>
      </c>
      <c r="P61" s="41" t="s">
        <v>79</v>
      </c>
      <c r="Q61" s="41" t="s">
        <v>77</v>
      </c>
      <c r="R61" s="41" t="s">
        <v>79</v>
      </c>
      <c r="S61" s="44">
        <v>2.0</v>
      </c>
      <c r="T61" s="41" t="s">
        <v>75</v>
      </c>
      <c r="U61" s="41" t="s">
        <v>79</v>
      </c>
      <c r="V61" s="41" t="s">
        <v>77</v>
      </c>
      <c r="W61" s="41" t="s">
        <v>76</v>
      </c>
      <c r="X61" s="41" t="s">
        <v>79</v>
      </c>
      <c r="Y61" s="41" t="s">
        <v>78</v>
      </c>
      <c r="Z61" s="41" t="s">
        <v>75</v>
      </c>
      <c r="AA61" s="41" t="s">
        <v>76</v>
      </c>
      <c r="AB61" s="41" t="s">
        <v>78</v>
      </c>
      <c r="AC61" s="41" t="s">
        <v>77</v>
      </c>
      <c r="AD61" s="41" t="s">
        <v>76</v>
      </c>
      <c r="AE61" s="41" t="s">
        <v>79</v>
      </c>
      <c r="AF61" s="41" t="s">
        <v>77</v>
      </c>
      <c r="AG61" s="41" t="s">
        <v>75</v>
      </c>
      <c r="AH61" s="41" t="s">
        <v>79</v>
      </c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</row>
    <row r="62" hidden="1">
      <c r="A62" s="41" t="s">
        <v>36</v>
      </c>
      <c r="B62" s="44">
        <v>3.0</v>
      </c>
      <c r="C62" s="44">
        <v>2.0</v>
      </c>
      <c r="D62" s="41" t="s">
        <v>76</v>
      </c>
      <c r="E62" s="41" t="s">
        <v>79</v>
      </c>
      <c r="F62" s="41" t="s">
        <v>75</v>
      </c>
      <c r="G62" s="41" t="s">
        <v>78</v>
      </c>
      <c r="H62" s="41" t="s">
        <v>77</v>
      </c>
      <c r="I62" s="41" t="s">
        <v>78</v>
      </c>
      <c r="J62" s="41" t="s">
        <v>76</v>
      </c>
      <c r="K62" s="41" t="s">
        <v>77</v>
      </c>
      <c r="L62" s="41" t="s">
        <v>75</v>
      </c>
      <c r="M62" s="41" t="s">
        <v>77</v>
      </c>
      <c r="N62" s="41" t="s">
        <v>78</v>
      </c>
      <c r="O62" s="41" t="s">
        <v>79</v>
      </c>
      <c r="P62" s="41" t="s">
        <v>75</v>
      </c>
      <c r="Q62" s="41" t="s">
        <v>77</v>
      </c>
      <c r="R62" s="41" t="s">
        <v>78</v>
      </c>
      <c r="S62" s="44">
        <v>2.0</v>
      </c>
      <c r="T62" s="41" t="s">
        <v>75</v>
      </c>
      <c r="U62" s="41" t="s">
        <v>77</v>
      </c>
      <c r="V62" s="41" t="s">
        <v>79</v>
      </c>
      <c r="W62" s="41" t="s">
        <v>77</v>
      </c>
      <c r="X62" s="41" t="s">
        <v>77</v>
      </c>
      <c r="Y62" s="41" t="s">
        <v>76</v>
      </c>
      <c r="Z62" s="41" t="s">
        <v>78</v>
      </c>
      <c r="AA62" s="41" t="s">
        <v>76</v>
      </c>
      <c r="AB62" s="41" t="s">
        <v>75</v>
      </c>
      <c r="AC62" s="41" t="s">
        <v>79</v>
      </c>
      <c r="AD62" s="41" t="s">
        <v>76</v>
      </c>
      <c r="AE62" s="41" t="s">
        <v>79</v>
      </c>
      <c r="AF62" s="41" t="s">
        <v>77</v>
      </c>
      <c r="AG62" s="41" t="s">
        <v>77</v>
      </c>
      <c r="AH62" s="41" t="s">
        <v>79</v>
      </c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</row>
    <row r="63" hidden="1">
      <c r="A63" s="41" t="s">
        <v>37</v>
      </c>
      <c r="B63" s="44">
        <v>3.0</v>
      </c>
      <c r="C63" s="44">
        <v>2.0</v>
      </c>
      <c r="D63" s="41" t="s">
        <v>76</v>
      </c>
      <c r="E63" s="41" t="s">
        <v>79</v>
      </c>
      <c r="F63" s="41" t="s">
        <v>75</v>
      </c>
      <c r="G63" s="41" t="s">
        <v>76</v>
      </c>
      <c r="H63" s="41" t="s">
        <v>77</v>
      </c>
      <c r="I63" s="41" t="s">
        <v>75</v>
      </c>
      <c r="J63" s="41" t="s">
        <v>76</v>
      </c>
      <c r="K63" s="41" t="s">
        <v>78</v>
      </c>
      <c r="L63" s="41" t="s">
        <v>76</v>
      </c>
      <c r="M63" s="41" t="s">
        <v>75</v>
      </c>
      <c r="N63" s="41" t="s">
        <v>78</v>
      </c>
      <c r="O63" s="41" t="s">
        <v>75</v>
      </c>
      <c r="P63" s="41" t="s">
        <v>76</v>
      </c>
      <c r="Q63" s="41" t="s">
        <v>75</v>
      </c>
      <c r="R63" s="41" t="s">
        <v>79</v>
      </c>
      <c r="S63" s="44">
        <v>2.0</v>
      </c>
      <c r="T63" s="41" t="s">
        <v>76</v>
      </c>
      <c r="U63" s="41" t="s">
        <v>77</v>
      </c>
      <c r="V63" s="41" t="s">
        <v>78</v>
      </c>
      <c r="W63" s="41" t="s">
        <v>75</v>
      </c>
      <c r="X63" s="41" t="s">
        <v>75</v>
      </c>
      <c r="Y63" s="41" t="s">
        <v>77</v>
      </c>
      <c r="Z63" s="41" t="s">
        <v>75</v>
      </c>
      <c r="AA63" s="41" t="s">
        <v>76</v>
      </c>
      <c r="AB63" s="41" t="s">
        <v>78</v>
      </c>
      <c r="AC63" s="41" t="s">
        <v>76</v>
      </c>
      <c r="AD63" s="41" t="s">
        <v>76</v>
      </c>
      <c r="AE63" s="41" t="s">
        <v>78</v>
      </c>
      <c r="AF63" s="41" t="s">
        <v>79</v>
      </c>
      <c r="AG63" s="41" t="s">
        <v>78</v>
      </c>
      <c r="AH63" s="41" t="s">
        <v>75</v>
      </c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</row>
    <row r="64" hidden="1">
      <c r="A64" s="41" t="s">
        <v>38</v>
      </c>
      <c r="B64" s="44">
        <v>3.0</v>
      </c>
      <c r="C64" s="44">
        <v>1.0</v>
      </c>
      <c r="D64" s="41" t="s">
        <v>75</v>
      </c>
      <c r="E64" s="41" t="s">
        <v>77</v>
      </c>
      <c r="F64" s="41" t="s">
        <v>77</v>
      </c>
      <c r="G64" s="41" t="s">
        <v>75</v>
      </c>
      <c r="H64" s="41" t="s">
        <v>77</v>
      </c>
      <c r="I64" s="41" t="s">
        <v>77</v>
      </c>
      <c r="J64" s="41" t="s">
        <v>76</v>
      </c>
      <c r="K64" s="41" t="s">
        <v>79</v>
      </c>
      <c r="L64" s="41" t="s">
        <v>76</v>
      </c>
      <c r="M64" s="41" t="s">
        <v>77</v>
      </c>
      <c r="N64" s="41" t="s">
        <v>77</v>
      </c>
      <c r="O64" s="41" t="s">
        <v>77</v>
      </c>
      <c r="P64" s="41" t="s">
        <v>76</v>
      </c>
      <c r="Q64" s="41" t="s">
        <v>79</v>
      </c>
      <c r="R64" s="41" t="s">
        <v>76</v>
      </c>
      <c r="S64" s="44">
        <v>1.0</v>
      </c>
      <c r="T64" s="41" t="s">
        <v>76</v>
      </c>
      <c r="U64" s="41" t="s">
        <v>77</v>
      </c>
      <c r="V64" s="41" t="s">
        <v>79</v>
      </c>
      <c r="W64" s="41" t="s">
        <v>76</v>
      </c>
      <c r="X64" s="41" t="s">
        <v>78</v>
      </c>
      <c r="Y64" s="41" t="s">
        <v>79</v>
      </c>
      <c r="Z64" s="41" t="s">
        <v>78</v>
      </c>
      <c r="AA64" s="41" t="s">
        <v>76</v>
      </c>
      <c r="AB64" s="41" t="s">
        <v>76</v>
      </c>
      <c r="AC64" s="41" t="s">
        <v>79</v>
      </c>
      <c r="AD64" s="41" t="s">
        <v>76</v>
      </c>
      <c r="AE64" s="41" t="s">
        <v>79</v>
      </c>
      <c r="AF64" s="41" t="s">
        <v>77</v>
      </c>
      <c r="AG64" s="41" t="s">
        <v>79</v>
      </c>
      <c r="AH64" s="41" t="s">
        <v>77</v>
      </c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</row>
    <row r="65" hidden="1">
      <c r="A65" s="41" t="s">
        <v>39</v>
      </c>
      <c r="B65" s="44">
        <v>3.0</v>
      </c>
      <c r="C65" s="44">
        <v>1.0</v>
      </c>
      <c r="D65" s="41" t="s">
        <v>75</v>
      </c>
      <c r="E65" s="41" t="s">
        <v>78</v>
      </c>
      <c r="F65" s="41" t="s">
        <v>79</v>
      </c>
      <c r="G65" s="41" t="s">
        <v>78</v>
      </c>
      <c r="H65" s="41" t="s">
        <v>75</v>
      </c>
      <c r="I65" s="41" t="s">
        <v>78</v>
      </c>
      <c r="J65" s="41" t="s">
        <v>76</v>
      </c>
      <c r="K65" s="41" t="s">
        <v>79</v>
      </c>
      <c r="L65" s="41" t="s">
        <v>79</v>
      </c>
      <c r="M65" s="41" t="s">
        <v>79</v>
      </c>
      <c r="N65" s="41" t="s">
        <v>77</v>
      </c>
      <c r="O65" s="41" t="s">
        <v>78</v>
      </c>
      <c r="P65" s="41" t="s">
        <v>75</v>
      </c>
      <c r="Q65" s="41" t="s">
        <v>79</v>
      </c>
      <c r="R65" s="41" t="s">
        <v>75</v>
      </c>
      <c r="S65" s="44">
        <v>1.0</v>
      </c>
      <c r="T65" s="41" t="s">
        <v>79</v>
      </c>
      <c r="U65" s="41" t="s">
        <v>79</v>
      </c>
      <c r="V65" s="41" t="s">
        <v>78</v>
      </c>
      <c r="W65" s="41" t="s">
        <v>78</v>
      </c>
      <c r="X65" s="41" t="s">
        <v>75</v>
      </c>
      <c r="Y65" s="41" t="s">
        <v>78</v>
      </c>
      <c r="Z65" s="41" t="s">
        <v>79</v>
      </c>
      <c r="AA65" s="41" t="s">
        <v>76</v>
      </c>
      <c r="AB65" s="41" t="s">
        <v>78</v>
      </c>
      <c r="AC65" s="41" t="s">
        <v>75</v>
      </c>
      <c r="AD65" s="41" t="s">
        <v>76</v>
      </c>
      <c r="AE65" s="41" t="s">
        <v>79</v>
      </c>
      <c r="AF65" s="41" t="s">
        <v>78</v>
      </c>
      <c r="AG65" s="41" t="s">
        <v>75</v>
      </c>
      <c r="AH65" s="41" t="s">
        <v>78</v>
      </c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</row>
    <row r="66" hidden="1">
      <c r="A66" s="41" t="s">
        <v>98</v>
      </c>
      <c r="B66" s="44">
        <v>3.0</v>
      </c>
      <c r="C66" s="44">
        <v>1.0</v>
      </c>
      <c r="D66" s="41" t="s">
        <v>77</v>
      </c>
      <c r="E66" s="41" t="s">
        <v>77</v>
      </c>
      <c r="F66" s="41" t="s">
        <v>79</v>
      </c>
      <c r="G66" s="41" t="s">
        <v>79</v>
      </c>
      <c r="H66" s="41" t="s">
        <v>79</v>
      </c>
      <c r="I66" s="41" t="s">
        <v>78</v>
      </c>
      <c r="J66" s="41" t="s">
        <v>75</v>
      </c>
      <c r="K66" s="41" t="s">
        <v>79</v>
      </c>
      <c r="L66" s="41" t="s">
        <v>79</v>
      </c>
      <c r="M66" s="41" t="s">
        <v>77</v>
      </c>
      <c r="N66" s="41" t="s">
        <v>77</v>
      </c>
      <c r="O66" s="41" t="s">
        <v>77</v>
      </c>
      <c r="P66" s="41" t="s">
        <v>79</v>
      </c>
      <c r="Q66" s="41" t="s">
        <v>78</v>
      </c>
      <c r="R66" s="41" t="s">
        <v>79</v>
      </c>
      <c r="S66" s="44">
        <v>1.0</v>
      </c>
      <c r="T66" s="41" t="s">
        <v>78</v>
      </c>
      <c r="U66" s="41" t="s">
        <v>79</v>
      </c>
      <c r="V66" s="41" t="s">
        <v>79</v>
      </c>
      <c r="W66" s="41" t="s">
        <v>78</v>
      </c>
      <c r="X66" s="41" t="s">
        <v>79</v>
      </c>
      <c r="Y66" s="41" t="s">
        <v>79</v>
      </c>
      <c r="Z66" s="41" t="s">
        <v>77</v>
      </c>
      <c r="AA66" s="41" t="s">
        <v>76</v>
      </c>
      <c r="AB66" s="41" t="s">
        <v>76</v>
      </c>
      <c r="AC66" s="41" t="s">
        <v>79</v>
      </c>
      <c r="AD66" s="41" t="s">
        <v>75</v>
      </c>
      <c r="AE66" s="41" t="s">
        <v>77</v>
      </c>
      <c r="AF66" s="41" t="s">
        <v>79</v>
      </c>
      <c r="AG66" s="41" t="s">
        <v>77</v>
      </c>
      <c r="AH66" s="41" t="s">
        <v>77</v>
      </c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</row>
    <row r="67" hidden="1">
      <c r="A67" s="41" t="s">
        <v>41</v>
      </c>
      <c r="B67" s="44">
        <v>3.0</v>
      </c>
      <c r="C67" s="44">
        <v>1.0</v>
      </c>
      <c r="D67" s="41" t="s">
        <v>75</v>
      </c>
      <c r="E67" s="41" t="s">
        <v>77</v>
      </c>
      <c r="F67" s="41" t="s">
        <v>78</v>
      </c>
      <c r="G67" s="41" t="s">
        <v>78</v>
      </c>
      <c r="H67" s="41" t="s">
        <v>77</v>
      </c>
      <c r="I67" s="41" t="s">
        <v>77</v>
      </c>
      <c r="J67" s="41" t="s">
        <v>76</v>
      </c>
      <c r="K67" s="41" t="s">
        <v>77</v>
      </c>
      <c r="L67" s="41" t="s">
        <v>75</v>
      </c>
      <c r="M67" s="41" t="s">
        <v>79</v>
      </c>
      <c r="N67" s="41" t="s">
        <v>79</v>
      </c>
      <c r="O67" s="41" t="s">
        <v>78</v>
      </c>
      <c r="P67" s="41" t="s">
        <v>78</v>
      </c>
      <c r="Q67" s="41" t="s">
        <v>77</v>
      </c>
      <c r="R67" s="41" t="s">
        <v>78</v>
      </c>
      <c r="S67" s="44">
        <v>1.0</v>
      </c>
      <c r="T67" s="41" t="s">
        <v>76</v>
      </c>
      <c r="U67" s="41" t="s">
        <v>79</v>
      </c>
      <c r="V67" s="41" t="s">
        <v>77</v>
      </c>
      <c r="W67" s="41" t="s">
        <v>78</v>
      </c>
      <c r="X67" s="41" t="s">
        <v>75</v>
      </c>
      <c r="Y67" s="41" t="s">
        <v>77</v>
      </c>
      <c r="Z67" s="41" t="s">
        <v>79</v>
      </c>
      <c r="AA67" s="41" t="s">
        <v>75</v>
      </c>
      <c r="AB67" s="41" t="s">
        <v>78</v>
      </c>
      <c r="AC67" s="41" t="s">
        <v>79</v>
      </c>
      <c r="AD67" s="41" t="s">
        <v>76</v>
      </c>
      <c r="AE67" s="41" t="s">
        <v>79</v>
      </c>
      <c r="AF67" s="41" t="s">
        <v>77</v>
      </c>
      <c r="AG67" s="41" t="s">
        <v>77</v>
      </c>
      <c r="AH67" s="41" t="s">
        <v>79</v>
      </c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</row>
    <row r="68" hidden="1">
      <c r="A68" s="41" t="s">
        <v>43</v>
      </c>
      <c r="B68" s="44">
        <v>3.0</v>
      </c>
      <c r="C68" s="44">
        <v>1.0</v>
      </c>
      <c r="D68" s="41" t="s">
        <v>75</v>
      </c>
      <c r="E68" s="41" t="s">
        <v>77</v>
      </c>
      <c r="F68" s="41" t="s">
        <v>75</v>
      </c>
      <c r="G68" s="41" t="s">
        <v>78</v>
      </c>
      <c r="H68" s="41" t="s">
        <v>77</v>
      </c>
      <c r="I68" s="41" t="s">
        <v>79</v>
      </c>
      <c r="J68" s="41" t="s">
        <v>76</v>
      </c>
      <c r="K68" s="41" t="s">
        <v>77</v>
      </c>
      <c r="L68" s="41" t="s">
        <v>75</v>
      </c>
      <c r="M68" s="41" t="s">
        <v>77</v>
      </c>
      <c r="N68" s="41" t="s">
        <v>78</v>
      </c>
      <c r="O68" s="41" t="s">
        <v>77</v>
      </c>
      <c r="P68" s="41" t="s">
        <v>75</v>
      </c>
      <c r="Q68" s="41" t="s">
        <v>77</v>
      </c>
      <c r="R68" s="41" t="s">
        <v>78</v>
      </c>
      <c r="S68" s="44">
        <v>1.0</v>
      </c>
      <c r="T68" s="41" t="s">
        <v>76</v>
      </c>
      <c r="U68" s="41" t="s">
        <v>77</v>
      </c>
      <c r="V68" s="41" t="s">
        <v>77</v>
      </c>
      <c r="W68" s="41" t="s">
        <v>77</v>
      </c>
      <c r="X68" s="41" t="s">
        <v>78</v>
      </c>
      <c r="Y68" s="41" t="s">
        <v>79</v>
      </c>
      <c r="Z68" s="41" t="s">
        <v>77</v>
      </c>
      <c r="AA68" s="41" t="s">
        <v>76</v>
      </c>
      <c r="AB68" s="41" t="s">
        <v>75</v>
      </c>
      <c r="AC68" s="41" t="s">
        <v>77</v>
      </c>
      <c r="AD68" s="41" t="s">
        <v>76</v>
      </c>
      <c r="AE68" s="41" t="s">
        <v>77</v>
      </c>
      <c r="AF68" s="41" t="s">
        <v>77</v>
      </c>
      <c r="AG68" s="41" t="s">
        <v>77</v>
      </c>
      <c r="AH68" s="41" t="s">
        <v>77</v>
      </c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</row>
    <row r="69" hidden="1">
      <c r="A69" s="41" t="s">
        <v>42</v>
      </c>
      <c r="B69" s="44">
        <v>3.0</v>
      </c>
      <c r="C69" s="45">
        <v>1.0</v>
      </c>
      <c r="D69" s="41" t="s">
        <v>76</v>
      </c>
      <c r="E69" s="41" t="s">
        <v>77</v>
      </c>
      <c r="F69" s="41" t="s">
        <v>75</v>
      </c>
      <c r="G69" s="41" t="s">
        <v>77</v>
      </c>
      <c r="H69" s="41" t="s">
        <v>79</v>
      </c>
      <c r="I69" s="41" t="s">
        <v>78</v>
      </c>
      <c r="J69" s="41" t="s">
        <v>76</v>
      </c>
      <c r="K69" s="41" t="s">
        <v>79</v>
      </c>
      <c r="L69" s="41" t="s">
        <v>76</v>
      </c>
      <c r="M69" s="41" t="s">
        <v>79</v>
      </c>
      <c r="N69" s="41" t="s">
        <v>77</v>
      </c>
      <c r="O69" s="41" t="s">
        <v>75</v>
      </c>
      <c r="P69" s="41" t="s">
        <v>76</v>
      </c>
      <c r="Q69" s="41" t="s">
        <v>79</v>
      </c>
      <c r="R69" s="41" t="s">
        <v>76</v>
      </c>
      <c r="S69" s="44">
        <v>1.0</v>
      </c>
      <c r="T69" s="41" t="s">
        <v>76</v>
      </c>
      <c r="U69" s="41" t="s">
        <v>79</v>
      </c>
      <c r="V69" s="41" t="s">
        <v>77</v>
      </c>
      <c r="W69" s="41" t="s">
        <v>77</v>
      </c>
      <c r="X69" s="41" t="s">
        <v>79</v>
      </c>
      <c r="Y69" s="41" t="s">
        <v>78</v>
      </c>
      <c r="Z69" s="41" t="s">
        <v>77</v>
      </c>
      <c r="AA69" s="41" t="s">
        <v>76</v>
      </c>
      <c r="AB69" s="41" t="s">
        <v>76</v>
      </c>
      <c r="AC69" s="41" t="s">
        <v>77</v>
      </c>
      <c r="AD69" s="41" t="s">
        <v>76</v>
      </c>
      <c r="AE69" s="41" t="s">
        <v>79</v>
      </c>
      <c r="AF69" s="41" t="s">
        <v>77</v>
      </c>
      <c r="AG69" s="41" t="s">
        <v>78</v>
      </c>
      <c r="AH69" s="41" t="s">
        <v>79</v>
      </c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hidden="1">
      <c r="A70" s="43" t="s">
        <v>80</v>
      </c>
      <c r="B70" s="46">
        <v>3.0</v>
      </c>
      <c r="C70" s="8"/>
      <c r="D70" s="43" t="s">
        <v>76</v>
      </c>
      <c r="E70" s="43" t="s">
        <v>77</v>
      </c>
      <c r="F70" s="43" t="s">
        <v>78</v>
      </c>
      <c r="G70" s="43" t="s">
        <v>78</v>
      </c>
      <c r="H70" s="43" t="s">
        <v>78</v>
      </c>
      <c r="I70" s="43" t="s">
        <v>79</v>
      </c>
      <c r="J70" s="43" t="s">
        <v>75</v>
      </c>
      <c r="K70" s="43" t="s">
        <v>78</v>
      </c>
      <c r="L70" s="43" t="s">
        <v>75</v>
      </c>
      <c r="M70" s="43" t="s">
        <v>77</v>
      </c>
      <c r="N70" s="43" t="s">
        <v>79</v>
      </c>
      <c r="O70" s="43" t="s">
        <v>75</v>
      </c>
      <c r="P70" s="43" t="s">
        <v>76</v>
      </c>
      <c r="Q70" s="43" t="s">
        <v>77</v>
      </c>
      <c r="R70" s="43" t="s">
        <v>75</v>
      </c>
      <c r="S70" s="20"/>
      <c r="T70" s="43" t="s">
        <v>76</v>
      </c>
      <c r="U70" s="43" t="s">
        <v>77</v>
      </c>
      <c r="V70" s="43" t="s">
        <v>78</v>
      </c>
      <c r="W70" s="43" t="s">
        <v>76</v>
      </c>
      <c r="X70" s="43" t="s">
        <v>78</v>
      </c>
      <c r="Y70" s="43" t="s">
        <v>79</v>
      </c>
      <c r="Z70" s="43" t="s">
        <v>76</v>
      </c>
      <c r="AA70" s="43" t="s">
        <v>75</v>
      </c>
      <c r="AB70" s="43" t="s">
        <v>78</v>
      </c>
      <c r="AC70" s="43" t="s">
        <v>75</v>
      </c>
      <c r="AD70" s="43" t="s">
        <v>76</v>
      </c>
      <c r="AE70" s="43" t="s">
        <v>77</v>
      </c>
      <c r="AF70" s="43" t="s">
        <v>79</v>
      </c>
      <c r="AG70" s="43" t="s">
        <v>79</v>
      </c>
      <c r="AH70" s="43" t="s">
        <v>77</v>
      </c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</row>
    <row r="71" hidden="1">
      <c r="A71" s="48" t="s">
        <v>81</v>
      </c>
      <c r="B71" s="8">
        <v>3.0</v>
      </c>
      <c r="C71" s="8"/>
      <c r="D71" s="8">
        <v>5.0</v>
      </c>
      <c r="E71" s="8">
        <v>16.0</v>
      </c>
      <c r="F71" s="8">
        <v>13.0</v>
      </c>
      <c r="G71" s="8">
        <v>3.0</v>
      </c>
      <c r="H71" s="8">
        <v>23.0</v>
      </c>
      <c r="I71" s="8">
        <v>12.0</v>
      </c>
      <c r="J71" s="8">
        <v>4.0</v>
      </c>
      <c r="K71" s="8">
        <v>27.0</v>
      </c>
      <c r="L71" s="8">
        <v>14.0</v>
      </c>
      <c r="M71" s="8">
        <v>11.0</v>
      </c>
      <c r="N71" s="8">
        <v>2.0</v>
      </c>
      <c r="O71" s="8">
        <v>24.0</v>
      </c>
      <c r="P71" s="8">
        <v>30.0</v>
      </c>
      <c r="Q71" s="8">
        <v>26.0</v>
      </c>
      <c r="R71" s="8">
        <v>29.0</v>
      </c>
      <c r="S71" s="8"/>
      <c r="T71" s="8">
        <v>15.0</v>
      </c>
      <c r="U71" s="8">
        <v>1.0</v>
      </c>
      <c r="V71" s="8">
        <v>18.0</v>
      </c>
      <c r="W71" s="8">
        <v>25.0</v>
      </c>
      <c r="X71" s="8">
        <v>28.0</v>
      </c>
      <c r="Y71" s="8">
        <v>7.0</v>
      </c>
      <c r="Z71" s="8">
        <v>20.0</v>
      </c>
      <c r="AA71" s="8">
        <v>9.0</v>
      </c>
      <c r="AB71" s="8">
        <v>8.0</v>
      </c>
      <c r="AC71" s="8">
        <v>19.0</v>
      </c>
      <c r="AD71" s="8">
        <v>10.0</v>
      </c>
      <c r="AE71" s="8">
        <v>21.0</v>
      </c>
      <c r="AF71" s="8">
        <v>17.0</v>
      </c>
      <c r="AG71" s="8">
        <v>22.0</v>
      </c>
      <c r="AH71" s="8">
        <v>6.0</v>
      </c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</row>
    <row r="72">
      <c r="A72" s="43" t="s">
        <v>82</v>
      </c>
      <c r="B72" s="46">
        <v>3.0</v>
      </c>
      <c r="C72" s="46">
        <v>2.0</v>
      </c>
      <c r="D72" s="43" t="str">
        <f t="shared" ref="D72:D84" si="29">IF(D58="E","1","0")</f>
        <v>1</v>
      </c>
      <c r="E72" s="43" t="str">
        <f t="shared" ref="E72:E84" si="30">IF(E58="A","1","0")</f>
        <v>0</v>
      </c>
      <c r="F72" s="43" t="str">
        <f t="shared" ref="F72:H72" si="28">IF(F58="C","1","0")</f>
        <v>0</v>
      </c>
      <c r="G72" s="43" t="str">
        <f t="shared" si="28"/>
        <v>1</v>
      </c>
      <c r="H72" s="43" t="str">
        <f t="shared" si="28"/>
        <v>0</v>
      </c>
      <c r="I72" s="43" t="str">
        <f t="shared" ref="I72:I84" si="32">IF(I58="B","1","0")</f>
        <v>0</v>
      </c>
      <c r="J72" s="43" t="str">
        <f t="shared" ref="J72:J84" si="33">IF(J58="D","1","0")</f>
        <v>0</v>
      </c>
      <c r="K72" s="43" t="str">
        <f t="shared" ref="K72:K84" si="34">IF(K58="C","1","0")</f>
        <v>0</v>
      </c>
      <c r="L72" s="43" t="str">
        <f t="shared" ref="L72:L84" si="35">IF(D58="D","1","0")</f>
        <v>0</v>
      </c>
      <c r="M72" s="43" t="str">
        <f t="shared" ref="M72:M84" si="36">IF(M58="A","1","0")</f>
        <v>1</v>
      </c>
      <c r="N72" s="43" t="str">
        <f t="shared" ref="N72:N84" si="37">IF(N58="B","1","0")</f>
        <v>1</v>
      </c>
      <c r="O72" s="43" t="str">
        <f t="shared" ref="O72:O84" si="38">IF(O58="D","1","0")</f>
        <v>0</v>
      </c>
      <c r="P72" s="43" t="str">
        <f t="shared" ref="P72:P84" si="39">IF(P58="E","1","0")</f>
        <v>0</v>
      </c>
      <c r="Q72" s="43" t="str">
        <f t="shared" ref="Q72:Q84" si="40">IF(Q58="A","1","0")</f>
        <v>1</v>
      </c>
      <c r="R72" s="43" t="str">
        <f t="shared" ref="R72:R84" si="41">IF(R58="D","1","0")</f>
        <v>1</v>
      </c>
      <c r="S72" s="46">
        <v>2.0</v>
      </c>
      <c r="T72" s="43" t="str">
        <f t="shared" ref="T72:T84" si="42">IF(T58="E","1","0")</f>
        <v>0</v>
      </c>
      <c r="U72" s="43" t="str">
        <f t="shared" ref="U72:U84" si="43">IF(U58="A","1","0")</f>
        <v>0</v>
      </c>
      <c r="V72" s="43" t="str">
        <f t="shared" ref="V72:V84" si="44">IF(V58="C","1","0")</f>
        <v>0</v>
      </c>
      <c r="W72" s="43" t="str">
        <f t="shared" ref="W72:W84" si="45">IF(W58="E","1","0")</f>
        <v>0</v>
      </c>
      <c r="X72" s="43" t="str">
        <f t="shared" ref="X72:X84" si="46">IF(X58="C","1","0")</f>
        <v>0</v>
      </c>
      <c r="Y72" s="43" t="str">
        <f t="shared" ref="Y72:Y84" si="47">IF(Y58="B","1","0")</f>
        <v>0</v>
      </c>
      <c r="Z72" s="43" t="str">
        <f t="shared" ref="Z72:Z84" si="48">IF(Z58="E","1","0")</f>
        <v>0</v>
      </c>
      <c r="AA72" s="43" t="str">
        <f t="shared" ref="AA72:AA84" si="49">IF(AA58="D","1","0")</f>
        <v>0</v>
      </c>
      <c r="AB72" s="43" t="str">
        <f t="shared" ref="AB72:AB84" si="50">IF(AB58="C","1","0")</f>
        <v>0</v>
      </c>
      <c r="AC72" s="43" t="str">
        <f t="shared" ref="AC72:AC84" si="51">IF(AC58="D","1","0")</f>
        <v>0</v>
      </c>
      <c r="AD72" s="43" t="str">
        <f t="shared" ref="AD72:AD84" si="52">IF(AD58="E","1","0")</f>
        <v>0</v>
      </c>
      <c r="AE72" s="50" t="str">
        <f t="shared" ref="AE72:AE84" si="53">IF(AE58="A","1","0")</f>
        <v>0</v>
      </c>
      <c r="AF72" s="43" t="str">
        <f t="shared" ref="AF72:AF84" si="54">IF(D58="B","1","0")</f>
        <v>0</v>
      </c>
      <c r="AG72" s="43" t="str">
        <f t="shared" ref="AG72:AG84" si="55">IF(AG58="B","1","0")</f>
        <v>1</v>
      </c>
      <c r="AH72" s="43" t="str">
        <f t="shared" ref="AH72:AH84" si="56">IF(AH58="A","1","0")</f>
        <v>1</v>
      </c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</row>
    <row r="73">
      <c r="A73" s="43" t="s">
        <v>84</v>
      </c>
      <c r="B73" s="46">
        <v>3.0</v>
      </c>
      <c r="C73" s="46">
        <v>2.0</v>
      </c>
      <c r="D73" s="43" t="str">
        <f t="shared" si="29"/>
        <v>1</v>
      </c>
      <c r="E73" s="43" t="str">
        <f t="shared" si="30"/>
        <v>0</v>
      </c>
      <c r="F73" s="43" t="str">
        <f t="shared" ref="F73:H73" si="31">IF(F59="C","1","0")</f>
        <v>0</v>
      </c>
      <c r="G73" s="43" t="str">
        <f t="shared" si="31"/>
        <v>1</v>
      </c>
      <c r="H73" s="43" t="str">
        <f t="shared" si="31"/>
        <v>1</v>
      </c>
      <c r="I73" s="43" t="str">
        <f t="shared" si="32"/>
        <v>1</v>
      </c>
      <c r="J73" s="43" t="str">
        <f t="shared" si="33"/>
        <v>0</v>
      </c>
      <c r="K73" s="43" t="str">
        <f t="shared" si="34"/>
        <v>0</v>
      </c>
      <c r="L73" s="43" t="str">
        <f t="shared" si="35"/>
        <v>0</v>
      </c>
      <c r="M73" s="43" t="str">
        <f t="shared" si="36"/>
        <v>0</v>
      </c>
      <c r="N73" s="43" t="str">
        <f t="shared" si="37"/>
        <v>0</v>
      </c>
      <c r="O73" s="43" t="str">
        <f t="shared" si="38"/>
        <v>0</v>
      </c>
      <c r="P73" s="43" t="str">
        <f t="shared" si="39"/>
        <v>0</v>
      </c>
      <c r="Q73" s="43" t="str">
        <f t="shared" si="40"/>
        <v>0</v>
      </c>
      <c r="R73" s="43" t="str">
        <f t="shared" si="41"/>
        <v>1</v>
      </c>
      <c r="S73" s="46">
        <v>2.0</v>
      </c>
      <c r="T73" s="43" t="str">
        <f t="shared" si="42"/>
        <v>0</v>
      </c>
      <c r="U73" s="43" t="str">
        <f t="shared" si="43"/>
        <v>0</v>
      </c>
      <c r="V73" s="43" t="str">
        <f t="shared" si="44"/>
        <v>0</v>
      </c>
      <c r="W73" s="43" t="str">
        <f t="shared" si="45"/>
        <v>0</v>
      </c>
      <c r="X73" s="43" t="str">
        <f t="shared" si="46"/>
        <v>1</v>
      </c>
      <c r="Y73" s="43" t="str">
        <f t="shared" si="47"/>
        <v>1</v>
      </c>
      <c r="Z73" s="43" t="str">
        <f t="shared" si="48"/>
        <v>0</v>
      </c>
      <c r="AA73" s="43" t="str">
        <f t="shared" si="49"/>
        <v>1</v>
      </c>
      <c r="AB73" s="43" t="str">
        <f t="shared" si="50"/>
        <v>1</v>
      </c>
      <c r="AC73" s="43" t="str">
        <f t="shared" si="51"/>
        <v>0</v>
      </c>
      <c r="AD73" s="43" t="str">
        <f t="shared" si="52"/>
        <v>1</v>
      </c>
      <c r="AE73" s="50" t="str">
        <f t="shared" si="53"/>
        <v>1</v>
      </c>
      <c r="AF73" s="43" t="str">
        <f t="shared" si="54"/>
        <v>0</v>
      </c>
      <c r="AG73" s="43" t="str">
        <f t="shared" si="55"/>
        <v>0</v>
      </c>
      <c r="AH73" s="43" t="str">
        <f t="shared" si="56"/>
        <v>0</v>
      </c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</row>
    <row r="74">
      <c r="A74" s="43" t="s">
        <v>34</v>
      </c>
      <c r="B74" s="46">
        <v>3.0</v>
      </c>
      <c r="C74" s="46">
        <v>2.0</v>
      </c>
      <c r="D74" s="43" t="str">
        <f t="shared" si="29"/>
        <v>0</v>
      </c>
      <c r="E74" s="43" t="str">
        <f t="shared" si="30"/>
        <v>1</v>
      </c>
      <c r="F74" s="43" t="str">
        <f t="shared" ref="F74:H74" si="57">IF(F60="C","1","0")</f>
        <v>0</v>
      </c>
      <c r="G74" s="43" t="str">
        <f t="shared" si="57"/>
        <v>1</v>
      </c>
      <c r="H74" s="43" t="str">
        <f t="shared" si="57"/>
        <v>1</v>
      </c>
      <c r="I74" s="43" t="str">
        <f t="shared" si="32"/>
        <v>0</v>
      </c>
      <c r="J74" s="43" t="str">
        <f t="shared" si="33"/>
        <v>0</v>
      </c>
      <c r="K74" s="43" t="str">
        <f t="shared" si="34"/>
        <v>0</v>
      </c>
      <c r="L74" s="43" t="str">
        <f t="shared" si="35"/>
        <v>1</v>
      </c>
      <c r="M74" s="43" t="str">
        <f t="shared" si="36"/>
        <v>1</v>
      </c>
      <c r="N74" s="43" t="str">
        <f t="shared" si="37"/>
        <v>0</v>
      </c>
      <c r="O74" s="43" t="str">
        <f t="shared" si="38"/>
        <v>1</v>
      </c>
      <c r="P74" s="43" t="str">
        <f t="shared" si="39"/>
        <v>0</v>
      </c>
      <c r="Q74" s="43" t="str">
        <f t="shared" si="40"/>
        <v>0</v>
      </c>
      <c r="R74" s="43" t="str">
        <f t="shared" si="41"/>
        <v>0</v>
      </c>
      <c r="S74" s="46">
        <v>2.0</v>
      </c>
      <c r="T74" s="43" t="str">
        <f t="shared" si="42"/>
        <v>1</v>
      </c>
      <c r="U74" s="43" t="str">
        <f t="shared" si="43"/>
        <v>0</v>
      </c>
      <c r="V74" s="43" t="str">
        <f t="shared" si="44"/>
        <v>0</v>
      </c>
      <c r="W74" s="43" t="str">
        <f t="shared" si="45"/>
        <v>0</v>
      </c>
      <c r="X74" s="43" t="str">
        <f t="shared" si="46"/>
        <v>0</v>
      </c>
      <c r="Y74" s="43" t="str">
        <f t="shared" si="47"/>
        <v>0</v>
      </c>
      <c r="Z74" s="43" t="str">
        <f t="shared" si="48"/>
        <v>0</v>
      </c>
      <c r="AA74" s="43" t="str">
        <f t="shared" si="49"/>
        <v>0</v>
      </c>
      <c r="AB74" s="43" t="str">
        <f t="shared" si="50"/>
        <v>0</v>
      </c>
      <c r="AC74" s="43" t="str">
        <f t="shared" si="51"/>
        <v>0</v>
      </c>
      <c r="AD74" s="43" t="str">
        <f t="shared" si="52"/>
        <v>0</v>
      </c>
      <c r="AE74" s="50" t="str">
        <f t="shared" si="53"/>
        <v>1</v>
      </c>
      <c r="AF74" s="43" t="str">
        <f t="shared" si="54"/>
        <v>0</v>
      </c>
      <c r="AG74" s="43" t="str">
        <f t="shared" si="55"/>
        <v>0</v>
      </c>
      <c r="AH74" s="43" t="str">
        <f t="shared" si="56"/>
        <v>0</v>
      </c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</row>
    <row r="75">
      <c r="A75" s="43" t="s">
        <v>35</v>
      </c>
      <c r="B75" s="46">
        <v>3.0</v>
      </c>
      <c r="C75" s="46">
        <v>2.0</v>
      </c>
      <c r="D75" s="43" t="str">
        <f t="shared" si="29"/>
        <v>0</v>
      </c>
      <c r="E75" s="43" t="str">
        <f t="shared" si="30"/>
        <v>0</v>
      </c>
      <c r="F75" s="43" t="str">
        <f t="shared" ref="F75:H75" si="58">IF(F61="C","1","0")</f>
        <v>1</v>
      </c>
      <c r="G75" s="43" t="str">
        <f t="shared" si="58"/>
        <v>0</v>
      </c>
      <c r="H75" s="43" t="str">
        <f t="shared" si="58"/>
        <v>0</v>
      </c>
      <c r="I75" s="43" t="str">
        <f t="shared" si="32"/>
        <v>0</v>
      </c>
      <c r="J75" s="43" t="str">
        <f t="shared" si="33"/>
        <v>1</v>
      </c>
      <c r="K75" s="43" t="str">
        <f t="shared" si="34"/>
        <v>0</v>
      </c>
      <c r="L75" s="43" t="str">
        <f t="shared" si="35"/>
        <v>1</v>
      </c>
      <c r="M75" s="43" t="str">
        <f t="shared" si="36"/>
        <v>0</v>
      </c>
      <c r="N75" s="43" t="str">
        <f t="shared" si="37"/>
        <v>1</v>
      </c>
      <c r="O75" s="43" t="str">
        <f t="shared" si="38"/>
        <v>0</v>
      </c>
      <c r="P75" s="43" t="str">
        <f t="shared" si="39"/>
        <v>0</v>
      </c>
      <c r="Q75" s="43" t="str">
        <f t="shared" si="40"/>
        <v>1</v>
      </c>
      <c r="R75" s="43" t="str">
        <f t="shared" si="41"/>
        <v>0</v>
      </c>
      <c r="S75" s="46">
        <v>2.0</v>
      </c>
      <c r="T75" s="43" t="str">
        <f t="shared" si="42"/>
        <v>0</v>
      </c>
      <c r="U75" s="43" t="str">
        <f t="shared" si="43"/>
        <v>0</v>
      </c>
      <c r="V75" s="43" t="str">
        <f t="shared" si="44"/>
        <v>0</v>
      </c>
      <c r="W75" s="43" t="str">
        <f t="shared" si="45"/>
        <v>1</v>
      </c>
      <c r="X75" s="43" t="str">
        <f t="shared" si="46"/>
        <v>0</v>
      </c>
      <c r="Y75" s="43" t="str">
        <f t="shared" si="47"/>
        <v>0</v>
      </c>
      <c r="Z75" s="43" t="str">
        <f t="shared" si="48"/>
        <v>0</v>
      </c>
      <c r="AA75" s="43" t="str">
        <f t="shared" si="49"/>
        <v>0</v>
      </c>
      <c r="AB75" s="43" t="str">
        <f t="shared" si="50"/>
        <v>1</v>
      </c>
      <c r="AC75" s="43" t="str">
        <f t="shared" si="51"/>
        <v>0</v>
      </c>
      <c r="AD75" s="43" t="str">
        <f t="shared" si="52"/>
        <v>1</v>
      </c>
      <c r="AE75" s="50" t="str">
        <f t="shared" si="53"/>
        <v>0</v>
      </c>
      <c r="AF75" s="43" t="str">
        <f t="shared" si="54"/>
        <v>0</v>
      </c>
      <c r="AG75" s="43" t="str">
        <f t="shared" si="55"/>
        <v>0</v>
      </c>
      <c r="AH75" s="43" t="str">
        <f t="shared" si="56"/>
        <v>0</v>
      </c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</row>
    <row r="76">
      <c r="A76" s="43" t="s">
        <v>36</v>
      </c>
      <c r="B76" s="46">
        <v>3.0</v>
      </c>
      <c r="C76" s="46">
        <v>2.0</v>
      </c>
      <c r="D76" s="43" t="str">
        <f t="shared" si="29"/>
        <v>1</v>
      </c>
      <c r="E76" s="43" t="str">
        <f t="shared" si="30"/>
        <v>0</v>
      </c>
      <c r="F76" s="43" t="str">
        <f t="shared" ref="F76:H76" si="59">IF(F62="C","1","0")</f>
        <v>0</v>
      </c>
      <c r="G76" s="43" t="str">
        <f t="shared" si="59"/>
        <v>1</v>
      </c>
      <c r="H76" s="43" t="str">
        <f t="shared" si="59"/>
        <v>0</v>
      </c>
      <c r="I76" s="43" t="str">
        <f t="shared" si="32"/>
        <v>0</v>
      </c>
      <c r="J76" s="43" t="str">
        <f t="shared" si="33"/>
        <v>0</v>
      </c>
      <c r="K76" s="43" t="str">
        <f t="shared" si="34"/>
        <v>0</v>
      </c>
      <c r="L76" s="43" t="str">
        <f t="shared" si="35"/>
        <v>0</v>
      </c>
      <c r="M76" s="43" t="str">
        <f t="shared" si="36"/>
        <v>1</v>
      </c>
      <c r="N76" s="43" t="str">
        <f t="shared" si="37"/>
        <v>0</v>
      </c>
      <c r="O76" s="43" t="str">
        <f t="shared" si="38"/>
        <v>0</v>
      </c>
      <c r="P76" s="43" t="str">
        <f t="shared" si="39"/>
        <v>0</v>
      </c>
      <c r="Q76" s="43" t="str">
        <f t="shared" si="40"/>
        <v>1</v>
      </c>
      <c r="R76" s="43" t="str">
        <f t="shared" si="41"/>
        <v>0</v>
      </c>
      <c r="S76" s="46">
        <v>2.0</v>
      </c>
      <c r="T76" s="43" t="str">
        <f t="shared" si="42"/>
        <v>0</v>
      </c>
      <c r="U76" s="43" t="str">
        <f t="shared" si="43"/>
        <v>1</v>
      </c>
      <c r="V76" s="43" t="str">
        <f t="shared" si="44"/>
        <v>0</v>
      </c>
      <c r="W76" s="43" t="str">
        <f t="shared" si="45"/>
        <v>0</v>
      </c>
      <c r="X76" s="43" t="str">
        <f t="shared" si="46"/>
        <v>0</v>
      </c>
      <c r="Y76" s="43" t="str">
        <f t="shared" si="47"/>
        <v>0</v>
      </c>
      <c r="Z76" s="43" t="str">
        <f t="shared" si="48"/>
        <v>0</v>
      </c>
      <c r="AA76" s="43" t="str">
        <f t="shared" si="49"/>
        <v>0</v>
      </c>
      <c r="AB76" s="43" t="str">
        <f t="shared" si="50"/>
        <v>0</v>
      </c>
      <c r="AC76" s="43" t="str">
        <f t="shared" si="51"/>
        <v>0</v>
      </c>
      <c r="AD76" s="43" t="str">
        <f t="shared" si="52"/>
        <v>1</v>
      </c>
      <c r="AE76" s="50" t="str">
        <f t="shared" si="53"/>
        <v>0</v>
      </c>
      <c r="AF76" s="43" t="str">
        <f t="shared" si="54"/>
        <v>0</v>
      </c>
      <c r="AG76" s="43" t="str">
        <f t="shared" si="55"/>
        <v>0</v>
      </c>
      <c r="AH76" s="43" t="str">
        <f t="shared" si="56"/>
        <v>0</v>
      </c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</row>
    <row r="77">
      <c r="A77" s="43" t="s">
        <v>37</v>
      </c>
      <c r="B77" s="46">
        <v>3.0</v>
      </c>
      <c r="C77" s="46">
        <v>2.0</v>
      </c>
      <c r="D77" s="43" t="str">
        <f t="shared" si="29"/>
        <v>1</v>
      </c>
      <c r="E77" s="43" t="str">
        <f t="shared" si="30"/>
        <v>0</v>
      </c>
      <c r="F77" s="43" t="str">
        <f t="shared" ref="F77:H77" si="60">IF(F63="C","1","0")</f>
        <v>0</v>
      </c>
      <c r="G77" s="43" t="str">
        <f t="shared" si="60"/>
        <v>0</v>
      </c>
      <c r="H77" s="43" t="str">
        <f t="shared" si="60"/>
        <v>0</v>
      </c>
      <c r="I77" s="43" t="str">
        <f t="shared" si="32"/>
        <v>0</v>
      </c>
      <c r="J77" s="43" t="str">
        <f t="shared" si="33"/>
        <v>0</v>
      </c>
      <c r="K77" s="43" t="str">
        <f t="shared" si="34"/>
        <v>1</v>
      </c>
      <c r="L77" s="43" t="str">
        <f t="shared" si="35"/>
        <v>0</v>
      </c>
      <c r="M77" s="43" t="str">
        <f t="shared" si="36"/>
        <v>0</v>
      </c>
      <c r="N77" s="43" t="str">
        <f t="shared" si="37"/>
        <v>0</v>
      </c>
      <c r="O77" s="43" t="str">
        <f t="shared" si="38"/>
        <v>1</v>
      </c>
      <c r="P77" s="43" t="str">
        <f t="shared" si="39"/>
        <v>1</v>
      </c>
      <c r="Q77" s="43" t="str">
        <f t="shared" si="40"/>
        <v>0</v>
      </c>
      <c r="R77" s="43" t="str">
        <f t="shared" si="41"/>
        <v>0</v>
      </c>
      <c r="S77" s="46">
        <v>2.0</v>
      </c>
      <c r="T77" s="43" t="str">
        <f t="shared" si="42"/>
        <v>1</v>
      </c>
      <c r="U77" s="43" t="str">
        <f t="shared" si="43"/>
        <v>1</v>
      </c>
      <c r="V77" s="43" t="str">
        <f t="shared" si="44"/>
        <v>1</v>
      </c>
      <c r="W77" s="43" t="str">
        <f t="shared" si="45"/>
        <v>0</v>
      </c>
      <c r="X77" s="43" t="str">
        <f t="shared" si="46"/>
        <v>0</v>
      </c>
      <c r="Y77" s="43" t="str">
        <f t="shared" si="47"/>
        <v>0</v>
      </c>
      <c r="Z77" s="43" t="str">
        <f t="shared" si="48"/>
        <v>0</v>
      </c>
      <c r="AA77" s="43" t="str">
        <f t="shared" si="49"/>
        <v>0</v>
      </c>
      <c r="AB77" s="43" t="str">
        <f t="shared" si="50"/>
        <v>1</v>
      </c>
      <c r="AC77" s="43" t="str">
        <f t="shared" si="51"/>
        <v>0</v>
      </c>
      <c r="AD77" s="43" t="str">
        <f t="shared" si="52"/>
        <v>1</v>
      </c>
      <c r="AE77" s="50" t="str">
        <f t="shared" si="53"/>
        <v>0</v>
      </c>
      <c r="AF77" s="43" t="str">
        <f t="shared" si="54"/>
        <v>0</v>
      </c>
      <c r="AG77" s="43" t="str">
        <f t="shared" si="55"/>
        <v>0</v>
      </c>
      <c r="AH77" s="43" t="str">
        <f t="shared" si="56"/>
        <v>0</v>
      </c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</row>
    <row r="78">
      <c r="A78" s="43" t="s">
        <v>38</v>
      </c>
      <c r="B78" s="46">
        <v>3.0</v>
      </c>
      <c r="C78" s="46">
        <v>1.0</v>
      </c>
      <c r="D78" s="43" t="str">
        <f t="shared" si="29"/>
        <v>0</v>
      </c>
      <c r="E78" s="43" t="str">
        <f t="shared" si="30"/>
        <v>1</v>
      </c>
      <c r="F78" s="43" t="str">
        <f t="shared" ref="F78:H78" si="61">IF(F64="C","1","0")</f>
        <v>0</v>
      </c>
      <c r="G78" s="43" t="str">
        <f t="shared" si="61"/>
        <v>0</v>
      </c>
      <c r="H78" s="43" t="str">
        <f t="shared" si="61"/>
        <v>0</v>
      </c>
      <c r="I78" s="43" t="str">
        <f t="shared" si="32"/>
        <v>0</v>
      </c>
      <c r="J78" s="43" t="str">
        <f t="shared" si="33"/>
        <v>0</v>
      </c>
      <c r="K78" s="43" t="str">
        <f t="shared" si="34"/>
        <v>0</v>
      </c>
      <c r="L78" s="43" t="str">
        <f t="shared" si="35"/>
        <v>1</v>
      </c>
      <c r="M78" s="43" t="str">
        <f t="shared" si="36"/>
        <v>1</v>
      </c>
      <c r="N78" s="43" t="str">
        <f t="shared" si="37"/>
        <v>0</v>
      </c>
      <c r="O78" s="43" t="str">
        <f t="shared" si="38"/>
        <v>0</v>
      </c>
      <c r="P78" s="43" t="str">
        <f t="shared" si="39"/>
        <v>1</v>
      </c>
      <c r="Q78" s="43" t="str">
        <f t="shared" si="40"/>
        <v>0</v>
      </c>
      <c r="R78" s="43" t="str">
        <f t="shared" si="41"/>
        <v>0</v>
      </c>
      <c r="S78" s="46">
        <v>1.0</v>
      </c>
      <c r="T78" s="43" t="str">
        <f t="shared" si="42"/>
        <v>1</v>
      </c>
      <c r="U78" s="43" t="str">
        <f t="shared" si="43"/>
        <v>1</v>
      </c>
      <c r="V78" s="43" t="str">
        <f t="shared" si="44"/>
        <v>0</v>
      </c>
      <c r="W78" s="43" t="str">
        <f t="shared" si="45"/>
        <v>1</v>
      </c>
      <c r="X78" s="43" t="str">
        <f t="shared" si="46"/>
        <v>1</v>
      </c>
      <c r="Y78" s="43" t="str">
        <f t="shared" si="47"/>
        <v>1</v>
      </c>
      <c r="Z78" s="43" t="str">
        <f t="shared" si="48"/>
        <v>0</v>
      </c>
      <c r="AA78" s="43" t="str">
        <f t="shared" si="49"/>
        <v>0</v>
      </c>
      <c r="AB78" s="43" t="str">
        <f t="shared" si="50"/>
        <v>0</v>
      </c>
      <c r="AC78" s="43" t="str">
        <f t="shared" si="51"/>
        <v>0</v>
      </c>
      <c r="AD78" s="43" t="str">
        <f t="shared" si="52"/>
        <v>1</v>
      </c>
      <c r="AE78" s="50" t="str">
        <f t="shared" si="53"/>
        <v>0</v>
      </c>
      <c r="AF78" s="43" t="str">
        <f t="shared" si="54"/>
        <v>0</v>
      </c>
      <c r="AG78" s="43" t="str">
        <f t="shared" si="55"/>
        <v>1</v>
      </c>
      <c r="AH78" s="43" t="str">
        <f t="shared" si="56"/>
        <v>1</v>
      </c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</row>
    <row r="79">
      <c r="A79" s="43" t="s">
        <v>39</v>
      </c>
      <c r="B79" s="46">
        <v>3.0</v>
      </c>
      <c r="C79" s="46">
        <v>1.0</v>
      </c>
      <c r="D79" s="43" t="str">
        <f t="shared" si="29"/>
        <v>0</v>
      </c>
      <c r="E79" s="43" t="str">
        <f t="shared" si="30"/>
        <v>0</v>
      </c>
      <c r="F79" s="43" t="str">
        <f t="shared" ref="F79:H79" si="62">IF(F65="C","1","0")</f>
        <v>0</v>
      </c>
      <c r="G79" s="43" t="str">
        <f t="shared" si="62"/>
        <v>1</v>
      </c>
      <c r="H79" s="43" t="str">
        <f t="shared" si="62"/>
        <v>0</v>
      </c>
      <c r="I79" s="43" t="str">
        <f t="shared" si="32"/>
        <v>0</v>
      </c>
      <c r="J79" s="43" t="str">
        <f t="shared" si="33"/>
        <v>0</v>
      </c>
      <c r="K79" s="43" t="str">
        <f t="shared" si="34"/>
        <v>0</v>
      </c>
      <c r="L79" s="43" t="str">
        <f t="shared" si="35"/>
        <v>1</v>
      </c>
      <c r="M79" s="43" t="str">
        <f t="shared" si="36"/>
        <v>0</v>
      </c>
      <c r="N79" s="43" t="str">
        <f t="shared" si="37"/>
        <v>0</v>
      </c>
      <c r="O79" s="43" t="str">
        <f t="shared" si="38"/>
        <v>0</v>
      </c>
      <c r="P79" s="43" t="str">
        <f t="shared" si="39"/>
        <v>0</v>
      </c>
      <c r="Q79" s="43" t="str">
        <f t="shared" si="40"/>
        <v>0</v>
      </c>
      <c r="R79" s="43" t="str">
        <f t="shared" si="41"/>
        <v>1</v>
      </c>
      <c r="S79" s="46">
        <v>1.0</v>
      </c>
      <c r="T79" s="43" t="str">
        <f t="shared" si="42"/>
        <v>0</v>
      </c>
      <c r="U79" s="43" t="str">
        <f t="shared" si="43"/>
        <v>0</v>
      </c>
      <c r="V79" s="43" t="str">
        <f t="shared" si="44"/>
        <v>1</v>
      </c>
      <c r="W79" s="43" t="str">
        <f t="shared" si="45"/>
        <v>0</v>
      </c>
      <c r="X79" s="43" t="str">
        <f t="shared" si="46"/>
        <v>0</v>
      </c>
      <c r="Y79" s="43" t="str">
        <f t="shared" si="47"/>
        <v>0</v>
      </c>
      <c r="Z79" s="43" t="str">
        <f t="shared" si="48"/>
        <v>0</v>
      </c>
      <c r="AA79" s="43" t="str">
        <f t="shared" si="49"/>
        <v>0</v>
      </c>
      <c r="AB79" s="43" t="str">
        <f t="shared" si="50"/>
        <v>1</v>
      </c>
      <c r="AC79" s="43" t="str">
        <f t="shared" si="51"/>
        <v>1</v>
      </c>
      <c r="AD79" s="43" t="str">
        <f t="shared" si="52"/>
        <v>1</v>
      </c>
      <c r="AE79" s="50" t="str">
        <f t="shared" si="53"/>
        <v>0</v>
      </c>
      <c r="AF79" s="43" t="str">
        <f t="shared" si="54"/>
        <v>0</v>
      </c>
      <c r="AG79" s="43" t="str">
        <f t="shared" si="55"/>
        <v>0</v>
      </c>
      <c r="AH79" s="43" t="str">
        <f t="shared" si="56"/>
        <v>0</v>
      </c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</row>
    <row r="80">
      <c r="A80" s="43" t="s">
        <v>98</v>
      </c>
      <c r="B80" s="46">
        <v>3.0</v>
      </c>
      <c r="C80" s="46">
        <v>1.0</v>
      </c>
      <c r="D80" s="43" t="str">
        <f t="shared" si="29"/>
        <v>0</v>
      </c>
      <c r="E80" s="43" t="str">
        <f t="shared" si="30"/>
        <v>1</v>
      </c>
      <c r="F80" s="43" t="str">
        <f t="shared" ref="F80:H80" si="63">IF(F66="C","1","0")</f>
        <v>0</v>
      </c>
      <c r="G80" s="43" t="str">
        <f t="shared" si="63"/>
        <v>0</v>
      </c>
      <c r="H80" s="43" t="str">
        <f t="shared" si="63"/>
        <v>0</v>
      </c>
      <c r="I80" s="43" t="str">
        <f t="shared" si="32"/>
        <v>0</v>
      </c>
      <c r="J80" s="43" t="str">
        <f t="shared" si="33"/>
        <v>1</v>
      </c>
      <c r="K80" s="43" t="str">
        <f t="shared" si="34"/>
        <v>0</v>
      </c>
      <c r="L80" s="43" t="str">
        <f t="shared" si="35"/>
        <v>0</v>
      </c>
      <c r="M80" s="43" t="str">
        <f t="shared" si="36"/>
        <v>1</v>
      </c>
      <c r="N80" s="43" t="str">
        <f t="shared" si="37"/>
        <v>0</v>
      </c>
      <c r="O80" s="43" t="str">
        <f t="shared" si="38"/>
        <v>0</v>
      </c>
      <c r="P80" s="43" t="str">
        <f t="shared" si="39"/>
        <v>0</v>
      </c>
      <c r="Q80" s="43" t="str">
        <f t="shared" si="40"/>
        <v>0</v>
      </c>
      <c r="R80" s="43" t="str">
        <f t="shared" si="41"/>
        <v>0</v>
      </c>
      <c r="S80" s="46">
        <v>1.0</v>
      </c>
      <c r="T80" s="43" t="str">
        <f t="shared" si="42"/>
        <v>0</v>
      </c>
      <c r="U80" s="43" t="str">
        <f t="shared" si="43"/>
        <v>0</v>
      </c>
      <c r="V80" s="43" t="str">
        <f t="shared" si="44"/>
        <v>0</v>
      </c>
      <c r="W80" s="43" t="str">
        <f t="shared" si="45"/>
        <v>0</v>
      </c>
      <c r="X80" s="43" t="str">
        <f t="shared" si="46"/>
        <v>0</v>
      </c>
      <c r="Y80" s="43" t="str">
        <f t="shared" si="47"/>
        <v>1</v>
      </c>
      <c r="Z80" s="43" t="str">
        <f t="shared" si="48"/>
        <v>0</v>
      </c>
      <c r="AA80" s="43" t="str">
        <f t="shared" si="49"/>
        <v>0</v>
      </c>
      <c r="AB80" s="43" t="str">
        <f t="shared" si="50"/>
        <v>0</v>
      </c>
      <c r="AC80" s="43" t="str">
        <f t="shared" si="51"/>
        <v>0</v>
      </c>
      <c r="AD80" s="43" t="str">
        <f t="shared" si="52"/>
        <v>0</v>
      </c>
      <c r="AE80" s="50" t="str">
        <f t="shared" si="53"/>
        <v>1</v>
      </c>
      <c r="AF80" s="43" t="str">
        <f t="shared" si="54"/>
        <v>0</v>
      </c>
      <c r="AG80" s="43" t="str">
        <f t="shared" si="55"/>
        <v>0</v>
      </c>
      <c r="AH80" s="43" t="str">
        <f t="shared" si="56"/>
        <v>1</v>
      </c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</row>
    <row r="81">
      <c r="A81" s="43" t="s">
        <v>41</v>
      </c>
      <c r="B81" s="46">
        <v>3.0</v>
      </c>
      <c r="C81" s="46">
        <v>1.0</v>
      </c>
      <c r="D81" s="43" t="str">
        <f t="shared" si="29"/>
        <v>0</v>
      </c>
      <c r="E81" s="43" t="str">
        <f t="shared" si="30"/>
        <v>1</v>
      </c>
      <c r="F81" s="43" t="str">
        <f t="shared" ref="F81:H81" si="64">IF(F67="C","1","0")</f>
        <v>1</v>
      </c>
      <c r="G81" s="43" t="str">
        <f t="shared" si="64"/>
        <v>1</v>
      </c>
      <c r="H81" s="43" t="str">
        <f t="shared" si="64"/>
        <v>0</v>
      </c>
      <c r="I81" s="43" t="str">
        <f t="shared" si="32"/>
        <v>0</v>
      </c>
      <c r="J81" s="43" t="str">
        <f t="shared" si="33"/>
        <v>0</v>
      </c>
      <c r="K81" s="43" t="str">
        <f t="shared" si="34"/>
        <v>0</v>
      </c>
      <c r="L81" s="43" t="str">
        <f t="shared" si="35"/>
        <v>1</v>
      </c>
      <c r="M81" s="43" t="str">
        <f t="shared" si="36"/>
        <v>0</v>
      </c>
      <c r="N81" s="43" t="str">
        <f t="shared" si="37"/>
        <v>1</v>
      </c>
      <c r="O81" s="43" t="str">
        <f t="shared" si="38"/>
        <v>0</v>
      </c>
      <c r="P81" s="43" t="str">
        <f t="shared" si="39"/>
        <v>0</v>
      </c>
      <c r="Q81" s="43" t="str">
        <f t="shared" si="40"/>
        <v>1</v>
      </c>
      <c r="R81" s="43" t="str">
        <f t="shared" si="41"/>
        <v>0</v>
      </c>
      <c r="S81" s="46">
        <v>1.0</v>
      </c>
      <c r="T81" s="43" t="str">
        <f t="shared" si="42"/>
        <v>1</v>
      </c>
      <c r="U81" s="43" t="str">
        <f t="shared" si="43"/>
        <v>0</v>
      </c>
      <c r="V81" s="43" t="str">
        <f t="shared" si="44"/>
        <v>0</v>
      </c>
      <c r="W81" s="43" t="str">
        <f t="shared" si="45"/>
        <v>0</v>
      </c>
      <c r="X81" s="43" t="str">
        <f t="shared" si="46"/>
        <v>0</v>
      </c>
      <c r="Y81" s="43" t="str">
        <f t="shared" si="47"/>
        <v>0</v>
      </c>
      <c r="Z81" s="43" t="str">
        <f t="shared" si="48"/>
        <v>0</v>
      </c>
      <c r="AA81" s="43" t="str">
        <f t="shared" si="49"/>
        <v>1</v>
      </c>
      <c r="AB81" s="43" t="str">
        <f t="shared" si="50"/>
        <v>1</v>
      </c>
      <c r="AC81" s="43" t="str">
        <f t="shared" si="51"/>
        <v>0</v>
      </c>
      <c r="AD81" s="43" t="str">
        <f t="shared" si="52"/>
        <v>1</v>
      </c>
      <c r="AE81" s="50" t="str">
        <f t="shared" si="53"/>
        <v>0</v>
      </c>
      <c r="AF81" s="43" t="str">
        <f t="shared" si="54"/>
        <v>0</v>
      </c>
      <c r="AG81" s="43" t="str">
        <f t="shared" si="55"/>
        <v>0</v>
      </c>
      <c r="AH81" s="43" t="str">
        <f t="shared" si="56"/>
        <v>0</v>
      </c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</row>
    <row r="82">
      <c r="A82" s="43" t="s">
        <v>43</v>
      </c>
      <c r="B82" s="46">
        <v>3.0</v>
      </c>
      <c r="C82" s="46">
        <v>1.0</v>
      </c>
      <c r="D82" s="43" t="str">
        <f t="shared" si="29"/>
        <v>0</v>
      </c>
      <c r="E82" s="43" t="str">
        <f t="shared" si="30"/>
        <v>1</v>
      </c>
      <c r="F82" s="43" t="str">
        <f t="shared" ref="F82:H82" si="65">IF(F68="C","1","0")</f>
        <v>0</v>
      </c>
      <c r="G82" s="43" t="str">
        <f t="shared" si="65"/>
        <v>1</v>
      </c>
      <c r="H82" s="43" t="str">
        <f t="shared" si="65"/>
        <v>0</v>
      </c>
      <c r="I82" s="43" t="str">
        <f t="shared" si="32"/>
        <v>1</v>
      </c>
      <c r="J82" s="43" t="str">
        <f t="shared" si="33"/>
        <v>0</v>
      </c>
      <c r="K82" s="43" t="str">
        <f t="shared" si="34"/>
        <v>0</v>
      </c>
      <c r="L82" s="43" t="str">
        <f t="shared" si="35"/>
        <v>1</v>
      </c>
      <c r="M82" s="43" t="str">
        <f t="shared" si="36"/>
        <v>1</v>
      </c>
      <c r="N82" s="43" t="str">
        <f t="shared" si="37"/>
        <v>0</v>
      </c>
      <c r="O82" s="43" t="str">
        <f t="shared" si="38"/>
        <v>0</v>
      </c>
      <c r="P82" s="43" t="str">
        <f t="shared" si="39"/>
        <v>0</v>
      </c>
      <c r="Q82" s="43" t="str">
        <f t="shared" si="40"/>
        <v>1</v>
      </c>
      <c r="R82" s="43" t="str">
        <f t="shared" si="41"/>
        <v>0</v>
      </c>
      <c r="S82" s="46">
        <v>1.0</v>
      </c>
      <c r="T82" s="43" t="str">
        <f t="shared" si="42"/>
        <v>1</v>
      </c>
      <c r="U82" s="43" t="str">
        <f t="shared" si="43"/>
        <v>1</v>
      </c>
      <c r="V82" s="43" t="str">
        <f t="shared" si="44"/>
        <v>0</v>
      </c>
      <c r="W82" s="43" t="str">
        <f t="shared" si="45"/>
        <v>0</v>
      </c>
      <c r="X82" s="43" t="str">
        <f t="shared" si="46"/>
        <v>1</v>
      </c>
      <c r="Y82" s="43" t="str">
        <f t="shared" si="47"/>
        <v>1</v>
      </c>
      <c r="Z82" s="43" t="str">
        <f t="shared" si="48"/>
        <v>0</v>
      </c>
      <c r="AA82" s="43" t="str">
        <f t="shared" si="49"/>
        <v>0</v>
      </c>
      <c r="AB82" s="43" t="str">
        <f t="shared" si="50"/>
        <v>0</v>
      </c>
      <c r="AC82" s="43" t="str">
        <f t="shared" si="51"/>
        <v>0</v>
      </c>
      <c r="AD82" s="43" t="str">
        <f t="shared" si="52"/>
        <v>1</v>
      </c>
      <c r="AE82" s="50" t="str">
        <f t="shared" si="53"/>
        <v>1</v>
      </c>
      <c r="AF82" s="43" t="str">
        <f t="shared" si="54"/>
        <v>0</v>
      </c>
      <c r="AG82" s="43" t="str">
        <f t="shared" si="55"/>
        <v>0</v>
      </c>
      <c r="AH82" s="43" t="str">
        <f t="shared" si="56"/>
        <v>1</v>
      </c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</row>
    <row r="83">
      <c r="A83" s="43" t="s">
        <v>42</v>
      </c>
      <c r="B83" s="46">
        <v>3.0</v>
      </c>
      <c r="C83" s="52">
        <v>1.0</v>
      </c>
      <c r="D83" s="43" t="str">
        <f t="shared" si="29"/>
        <v>1</v>
      </c>
      <c r="E83" s="43" t="str">
        <f t="shared" si="30"/>
        <v>1</v>
      </c>
      <c r="F83" s="43" t="str">
        <f t="shared" ref="F83:H83" si="66">IF(F69="C","1","0")</f>
        <v>0</v>
      </c>
      <c r="G83" s="43" t="str">
        <f t="shared" si="66"/>
        <v>0</v>
      </c>
      <c r="H83" s="43" t="str">
        <f t="shared" si="66"/>
        <v>0</v>
      </c>
      <c r="I83" s="43" t="str">
        <f t="shared" si="32"/>
        <v>0</v>
      </c>
      <c r="J83" s="43" t="str">
        <f t="shared" si="33"/>
        <v>0</v>
      </c>
      <c r="K83" s="43" t="str">
        <f t="shared" si="34"/>
        <v>0</v>
      </c>
      <c r="L83" s="43" t="str">
        <f t="shared" si="35"/>
        <v>0</v>
      </c>
      <c r="M83" s="43" t="str">
        <f t="shared" si="36"/>
        <v>0</v>
      </c>
      <c r="N83" s="43" t="str">
        <f t="shared" si="37"/>
        <v>0</v>
      </c>
      <c r="O83" s="43" t="str">
        <f t="shared" si="38"/>
        <v>1</v>
      </c>
      <c r="P83" s="43" t="str">
        <f t="shared" si="39"/>
        <v>1</v>
      </c>
      <c r="Q83" s="43" t="str">
        <f t="shared" si="40"/>
        <v>0</v>
      </c>
      <c r="R83" s="43" t="str">
        <f t="shared" si="41"/>
        <v>0</v>
      </c>
      <c r="S83" s="46">
        <v>1.0</v>
      </c>
      <c r="T83" s="43" t="str">
        <f t="shared" si="42"/>
        <v>1</v>
      </c>
      <c r="U83" s="43" t="str">
        <f t="shared" si="43"/>
        <v>0</v>
      </c>
      <c r="V83" s="43" t="str">
        <f t="shared" si="44"/>
        <v>0</v>
      </c>
      <c r="W83" s="43" t="str">
        <f t="shared" si="45"/>
        <v>0</v>
      </c>
      <c r="X83" s="43" t="str">
        <f t="shared" si="46"/>
        <v>0</v>
      </c>
      <c r="Y83" s="43" t="str">
        <f t="shared" si="47"/>
        <v>0</v>
      </c>
      <c r="Z83" s="43" t="str">
        <f t="shared" si="48"/>
        <v>0</v>
      </c>
      <c r="AA83" s="43" t="str">
        <f t="shared" si="49"/>
        <v>0</v>
      </c>
      <c r="AB83" s="43" t="str">
        <f t="shared" si="50"/>
        <v>0</v>
      </c>
      <c r="AC83" s="43" t="str">
        <f t="shared" si="51"/>
        <v>0</v>
      </c>
      <c r="AD83" s="43" t="str">
        <f t="shared" si="52"/>
        <v>1</v>
      </c>
      <c r="AE83" s="50" t="str">
        <f t="shared" si="53"/>
        <v>0</v>
      </c>
      <c r="AF83" s="43" t="str">
        <f t="shared" si="54"/>
        <v>0</v>
      </c>
      <c r="AG83" s="43" t="str">
        <f t="shared" si="55"/>
        <v>0</v>
      </c>
      <c r="AH83" s="43" t="str">
        <f t="shared" si="56"/>
        <v>0</v>
      </c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</row>
    <row r="84">
      <c r="A84" s="43" t="s">
        <v>80</v>
      </c>
      <c r="B84" s="46">
        <v>3.0</v>
      </c>
      <c r="C84" s="52"/>
      <c r="D84" s="43" t="str">
        <f t="shared" si="29"/>
        <v>1</v>
      </c>
      <c r="E84" s="43" t="str">
        <f t="shared" si="30"/>
        <v>1</v>
      </c>
      <c r="F84" s="43" t="str">
        <f t="shared" ref="F84:H84" si="67">IF(F70="C","1","0")</f>
        <v>1</v>
      </c>
      <c r="G84" s="43" t="str">
        <f t="shared" si="67"/>
        <v>1</v>
      </c>
      <c r="H84" s="43" t="str">
        <f t="shared" si="67"/>
        <v>1</v>
      </c>
      <c r="I84" s="43" t="str">
        <f t="shared" si="32"/>
        <v>1</v>
      </c>
      <c r="J84" s="43" t="str">
        <f t="shared" si="33"/>
        <v>1</v>
      </c>
      <c r="K84" s="43" t="str">
        <f t="shared" si="34"/>
        <v>1</v>
      </c>
      <c r="L84" s="43" t="str">
        <f t="shared" si="35"/>
        <v>0</v>
      </c>
      <c r="M84" s="43" t="str">
        <f t="shared" si="36"/>
        <v>1</v>
      </c>
      <c r="N84" s="43" t="str">
        <f t="shared" si="37"/>
        <v>1</v>
      </c>
      <c r="O84" s="43" t="str">
        <f t="shared" si="38"/>
        <v>1</v>
      </c>
      <c r="P84" s="43" t="str">
        <f t="shared" si="39"/>
        <v>1</v>
      </c>
      <c r="Q84" s="43" t="str">
        <f t="shared" si="40"/>
        <v>1</v>
      </c>
      <c r="R84" s="43" t="str">
        <f t="shared" si="41"/>
        <v>1</v>
      </c>
      <c r="S84" s="46"/>
      <c r="T84" s="43" t="str">
        <f t="shared" si="42"/>
        <v>1</v>
      </c>
      <c r="U84" s="43" t="str">
        <f t="shared" si="43"/>
        <v>1</v>
      </c>
      <c r="V84" s="43" t="str">
        <f t="shared" si="44"/>
        <v>1</v>
      </c>
      <c r="W84" s="43" t="str">
        <f t="shared" si="45"/>
        <v>1</v>
      </c>
      <c r="X84" s="43" t="str">
        <f t="shared" si="46"/>
        <v>1</v>
      </c>
      <c r="Y84" s="43" t="str">
        <f t="shared" si="47"/>
        <v>1</v>
      </c>
      <c r="Z84" s="43" t="str">
        <f t="shared" si="48"/>
        <v>1</v>
      </c>
      <c r="AA84" s="43" t="str">
        <f t="shared" si="49"/>
        <v>1</v>
      </c>
      <c r="AB84" s="43" t="str">
        <f t="shared" si="50"/>
        <v>1</v>
      </c>
      <c r="AC84" s="43" t="str">
        <f t="shared" si="51"/>
        <v>1</v>
      </c>
      <c r="AD84" s="43" t="str">
        <f t="shared" si="52"/>
        <v>1</v>
      </c>
      <c r="AE84" s="50" t="str">
        <f t="shared" si="53"/>
        <v>1</v>
      </c>
      <c r="AF84" s="43" t="str">
        <f t="shared" si="54"/>
        <v>0</v>
      </c>
      <c r="AG84" s="43" t="str">
        <f t="shared" si="55"/>
        <v>1</v>
      </c>
      <c r="AH84" s="43" t="str">
        <f t="shared" si="56"/>
        <v>1</v>
      </c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</row>
    <row r="85">
      <c r="A85" s="48" t="s">
        <v>81</v>
      </c>
      <c r="B85" s="52">
        <v>3.0</v>
      </c>
      <c r="C85" s="52"/>
      <c r="D85" s="52">
        <v>5.0</v>
      </c>
      <c r="E85" s="52">
        <v>16.0</v>
      </c>
      <c r="F85" s="52">
        <v>13.0</v>
      </c>
      <c r="G85" s="52">
        <v>3.0</v>
      </c>
      <c r="H85" s="52">
        <v>23.0</v>
      </c>
      <c r="I85" s="52">
        <v>12.0</v>
      </c>
      <c r="J85" s="52">
        <v>4.0</v>
      </c>
      <c r="K85" s="52">
        <v>27.0</v>
      </c>
      <c r="L85" s="52">
        <v>14.0</v>
      </c>
      <c r="M85" s="52">
        <v>11.0</v>
      </c>
      <c r="N85" s="52">
        <v>2.0</v>
      </c>
      <c r="O85" s="52">
        <v>24.0</v>
      </c>
      <c r="P85" s="52">
        <v>30.0</v>
      </c>
      <c r="Q85" s="52">
        <v>26.0</v>
      </c>
      <c r="R85" s="52">
        <v>29.0</v>
      </c>
      <c r="S85" s="52"/>
      <c r="T85" s="52">
        <v>15.0</v>
      </c>
      <c r="U85" s="52">
        <v>1.0</v>
      </c>
      <c r="V85" s="52">
        <v>18.0</v>
      </c>
      <c r="W85" s="52">
        <v>25.0</v>
      </c>
      <c r="X85" s="52">
        <v>28.0</v>
      </c>
      <c r="Y85" s="52">
        <v>7.0</v>
      </c>
      <c r="Z85" s="52">
        <v>20.0</v>
      </c>
      <c r="AA85" s="52">
        <v>9.0</v>
      </c>
      <c r="AB85" s="52">
        <v>8.0</v>
      </c>
      <c r="AC85" s="52">
        <v>19.0</v>
      </c>
      <c r="AD85" s="52">
        <v>10.0</v>
      </c>
      <c r="AE85" s="52">
        <v>21.0</v>
      </c>
      <c r="AF85" s="52">
        <v>17.0</v>
      </c>
      <c r="AG85" s="52">
        <v>22.0</v>
      </c>
      <c r="AH85" s="52">
        <v>6.0</v>
      </c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</row>
    <row r="86" hidden="1">
      <c r="A86" s="47" t="s">
        <v>82</v>
      </c>
      <c r="B86" s="54">
        <v>4.0</v>
      </c>
      <c r="C86" s="54">
        <v>2.0</v>
      </c>
      <c r="D86" s="55" t="s">
        <v>77</v>
      </c>
      <c r="E86" s="55" t="s">
        <v>79</v>
      </c>
      <c r="F86" s="55" t="s">
        <v>77</v>
      </c>
      <c r="G86" s="55" t="s">
        <v>78</v>
      </c>
      <c r="H86" s="55" t="s">
        <v>79</v>
      </c>
      <c r="I86" s="55" t="s">
        <v>78</v>
      </c>
      <c r="J86" s="55" t="s">
        <v>79</v>
      </c>
      <c r="K86" s="55" t="s">
        <v>78</v>
      </c>
      <c r="L86" s="55" t="s">
        <v>75</v>
      </c>
      <c r="M86" s="55" t="s">
        <v>76</v>
      </c>
      <c r="N86" s="55" t="s">
        <v>75</v>
      </c>
      <c r="O86" s="55" t="s">
        <v>78</v>
      </c>
      <c r="P86" s="55" t="s">
        <v>77</v>
      </c>
      <c r="Q86" s="55" t="s">
        <v>77</v>
      </c>
      <c r="R86" s="55" t="s">
        <v>76</v>
      </c>
      <c r="S86" s="46">
        <v>2.0</v>
      </c>
      <c r="T86" s="55" t="s">
        <v>76</v>
      </c>
      <c r="U86" s="55" t="s">
        <v>78</v>
      </c>
      <c r="V86" s="55" t="s">
        <v>75</v>
      </c>
      <c r="W86" s="55" t="s">
        <v>77</v>
      </c>
      <c r="X86" s="55" t="s">
        <v>79</v>
      </c>
      <c r="Y86" s="55" t="s">
        <v>76</v>
      </c>
      <c r="Z86" s="55" t="s">
        <v>75</v>
      </c>
      <c r="AA86" s="55" t="s">
        <v>77</v>
      </c>
      <c r="AB86" s="55" t="s">
        <v>77</v>
      </c>
      <c r="AC86" s="55" t="s">
        <v>78</v>
      </c>
      <c r="AD86" s="55" t="s">
        <v>75</v>
      </c>
      <c r="AE86" s="55" t="s">
        <v>79</v>
      </c>
      <c r="AF86" s="55" t="s">
        <v>77</v>
      </c>
      <c r="AG86" s="55" t="s">
        <v>78</v>
      </c>
      <c r="AH86" s="55" t="s">
        <v>76</v>
      </c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</row>
    <row r="87" hidden="1">
      <c r="A87" s="51" t="s">
        <v>84</v>
      </c>
      <c r="B87" s="45">
        <v>4.0</v>
      </c>
      <c r="C87" s="45">
        <v>2.0</v>
      </c>
      <c r="D87" s="51" t="s">
        <v>77</v>
      </c>
      <c r="E87" s="51" t="s">
        <v>75</v>
      </c>
      <c r="F87" s="51" t="s">
        <v>78</v>
      </c>
      <c r="G87" s="51" t="s">
        <v>75</v>
      </c>
      <c r="H87" s="51" t="s">
        <v>77</v>
      </c>
      <c r="I87" s="51" t="s">
        <v>78</v>
      </c>
      <c r="J87" s="51" t="s">
        <v>79</v>
      </c>
      <c r="K87" s="51" t="s">
        <v>77</v>
      </c>
      <c r="L87" s="51" t="s">
        <v>75</v>
      </c>
      <c r="M87" s="51" t="s">
        <v>76</v>
      </c>
      <c r="N87" s="51" t="s">
        <v>79</v>
      </c>
      <c r="O87" s="51" t="s">
        <v>75</v>
      </c>
      <c r="P87" s="51" t="s">
        <v>79</v>
      </c>
      <c r="Q87" s="51" t="s">
        <v>79</v>
      </c>
      <c r="R87" s="51" t="s">
        <v>75</v>
      </c>
      <c r="S87" s="45">
        <v>2.0</v>
      </c>
      <c r="T87" s="51" t="s">
        <v>75</v>
      </c>
      <c r="U87" s="51" t="s">
        <v>75</v>
      </c>
      <c r="V87" s="51" t="s">
        <v>78</v>
      </c>
      <c r="W87" s="51" t="s">
        <v>79</v>
      </c>
      <c r="X87" s="51" t="s">
        <v>77</v>
      </c>
      <c r="Y87" s="51" t="s">
        <v>76</v>
      </c>
      <c r="Z87" s="51" t="s">
        <v>75</v>
      </c>
      <c r="AA87" s="51" t="s">
        <v>77</v>
      </c>
      <c r="AB87" s="51" t="s">
        <v>77</v>
      </c>
      <c r="AC87" s="51" t="s">
        <v>79</v>
      </c>
      <c r="AD87" s="51" t="s">
        <v>75</v>
      </c>
      <c r="AE87" s="51" t="s">
        <v>79</v>
      </c>
      <c r="AF87" s="51" t="s">
        <v>77</v>
      </c>
      <c r="AG87" s="51" t="s">
        <v>77</v>
      </c>
      <c r="AH87" s="51" t="s">
        <v>78</v>
      </c>
    </row>
    <row r="88" hidden="1">
      <c r="A88" s="51" t="s">
        <v>34</v>
      </c>
      <c r="B88" s="45">
        <v>4.0</v>
      </c>
      <c r="C88" s="45">
        <v>2.0</v>
      </c>
      <c r="D88" s="51" t="s">
        <v>79</v>
      </c>
      <c r="E88" s="51" t="s">
        <v>75</v>
      </c>
      <c r="F88" s="51" t="s">
        <v>77</v>
      </c>
      <c r="G88" s="51" t="s">
        <v>76</v>
      </c>
      <c r="H88" s="51" t="s">
        <v>79</v>
      </c>
      <c r="I88" s="51" t="s">
        <v>78</v>
      </c>
      <c r="J88" s="51" t="s">
        <v>77</v>
      </c>
      <c r="K88" s="51" t="s">
        <v>75</v>
      </c>
      <c r="L88" s="51" t="s">
        <v>78</v>
      </c>
      <c r="M88" s="51" t="s">
        <v>76</v>
      </c>
      <c r="N88" s="51" t="s">
        <v>79</v>
      </c>
      <c r="O88" s="51" t="s">
        <v>78</v>
      </c>
      <c r="P88" s="51" t="s">
        <v>77</v>
      </c>
      <c r="Q88" s="51" t="s">
        <v>79</v>
      </c>
      <c r="R88" s="51" t="s">
        <v>75</v>
      </c>
      <c r="S88" s="45">
        <v>2.0</v>
      </c>
      <c r="T88" s="51" t="s">
        <v>76</v>
      </c>
      <c r="U88" s="51" t="s">
        <v>79</v>
      </c>
      <c r="V88" s="51" t="s">
        <v>75</v>
      </c>
      <c r="W88" s="51" t="s">
        <v>77</v>
      </c>
      <c r="X88" s="51" t="s">
        <v>78</v>
      </c>
      <c r="Y88" s="51" t="s">
        <v>78</v>
      </c>
      <c r="Z88" s="51" t="s">
        <v>76</v>
      </c>
      <c r="AA88" s="51" t="s">
        <v>77</v>
      </c>
      <c r="AB88" s="51" t="s">
        <v>77</v>
      </c>
      <c r="AC88" s="51" t="s">
        <v>75</v>
      </c>
      <c r="AD88" s="51" t="s">
        <v>75</v>
      </c>
      <c r="AE88" s="51" t="s">
        <v>79</v>
      </c>
      <c r="AF88" s="51" t="s">
        <v>79</v>
      </c>
      <c r="AG88" s="51" t="s">
        <v>78</v>
      </c>
      <c r="AH88" s="51" t="s">
        <v>76</v>
      </c>
    </row>
    <row r="89" hidden="1">
      <c r="A89" s="51" t="s">
        <v>35</v>
      </c>
      <c r="B89" s="45">
        <v>4.0</v>
      </c>
      <c r="C89" s="45">
        <v>2.0</v>
      </c>
      <c r="D89" s="51" t="s">
        <v>77</v>
      </c>
      <c r="E89" s="51" t="s">
        <v>78</v>
      </c>
      <c r="F89" s="51" t="s">
        <v>78</v>
      </c>
      <c r="G89" s="51" t="s">
        <v>75</v>
      </c>
      <c r="H89" s="51" t="s">
        <v>79</v>
      </c>
      <c r="I89" s="51" t="s">
        <v>78</v>
      </c>
      <c r="J89" s="51" t="s">
        <v>79</v>
      </c>
      <c r="K89" s="51" t="s">
        <v>78</v>
      </c>
      <c r="L89" s="51" t="s">
        <v>76</v>
      </c>
      <c r="M89" s="51" t="s">
        <v>76</v>
      </c>
      <c r="N89" s="51" t="s">
        <v>78</v>
      </c>
      <c r="O89" s="51" t="s">
        <v>79</v>
      </c>
      <c r="P89" s="51" t="s">
        <v>77</v>
      </c>
      <c r="Q89" s="51" t="s">
        <v>77</v>
      </c>
      <c r="R89" s="51" t="s">
        <v>75</v>
      </c>
      <c r="S89" s="45">
        <v>2.0</v>
      </c>
      <c r="T89" s="51" t="s">
        <v>75</v>
      </c>
      <c r="U89" s="51" t="s">
        <v>78</v>
      </c>
      <c r="V89" s="51" t="s">
        <v>75</v>
      </c>
      <c r="W89" s="51" t="s">
        <v>79</v>
      </c>
      <c r="X89" s="51" t="s">
        <v>79</v>
      </c>
      <c r="Y89" s="51" t="s">
        <v>76</v>
      </c>
      <c r="Z89" s="51" t="s">
        <v>76</v>
      </c>
      <c r="AA89" s="51" t="s">
        <v>79</v>
      </c>
      <c r="AB89" s="51" t="s">
        <v>79</v>
      </c>
      <c r="AC89" s="51" t="s">
        <v>78</v>
      </c>
      <c r="AD89" s="51" t="s">
        <v>75</v>
      </c>
      <c r="AE89" s="51" t="s">
        <v>77</v>
      </c>
      <c r="AF89" s="51" t="s">
        <v>79</v>
      </c>
      <c r="AG89" s="51" t="s">
        <v>77</v>
      </c>
      <c r="AH89" s="51" t="s">
        <v>75</v>
      </c>
    </row>
    <row r="90" hidden="1">
      <c r="A90" s="51" t="s">
        <v>36</v>
      </c>
      <c r="B90" s="45">
        <v>4.0</v>
      </c>
      <c r="C90" s="45">
        <v>2.0</v>
      </c>
      <c r="D90" s="51" t="s">
        <v>77</v>
      </c>
      <c r="E90" s="51" t="s">
        <v>77</v>
      </c>
      <c r="F90" s="51" t="s">
        <v>77</v>
      </c>
      <c r="G90" s="51" t="s">
        <v>78</v>
      </c>
      <c r="H90" s="51" t="s">
        <v>77</v>
      </c>
      <c r="I90" s="51" t="s">
        <v>79</v>
      </c>
      <c r="J90" s="51" t="s">
        <v>79</v>
      </c>
      <c r="K90" s="51" t="s">
        <v>77</v>
      </c>
      <c r="L90" s="51" t="s">
        <v>75</v>
      </c>
      <c r="M90" s="51" t="s">
        <v>76</v>
      </c>
      <c r="N90" s="51" t="s">
        <v>76</v>
      </c>
      <c r="O90" s="51" t="s">
        <v>77</v>
      </c>
      <c r="P90" s="51" t="s">
        <v>77</v>
      </c>
      <c r="Q90" s="51" t="s">
        <v>78</v>
      </c>
      <c r="R90" s="51" t="s">
        <v>76</v>
      </c>
      <c r="S90" s="45">
        <v>2.0</v>
      </c>
      <c r="T90" s="51" t="s">
        <v>78</v>
      </c>
      <c r="U90" s="51" t="s">
        <v>79</v>
      </c>
      <c r="V90" s="51" t="s">
        <v>75</v>
      </c>
      <c r="W90" s="51" t="s">
        <v>78</v>
      </c>
      <c r="X90" s="51" t="s">
        <v>77</v>
      </c>
      <c r="Y90" s="51" t="s">
        <v>76</v>
      </c>
      <c r="Z90" s="51" t="s">
        <v>75</v>
      </c>
      <c r="AA90" s="51" t="s">
        <v>79</v>
      </c>
      <c r="AB90" s="51" t="s">
        <v>77</v>
      </c>
      <c r="AC90" s="51" t="s">
        <v>79</v>
      </c>
      <c r="AD90" s="51" t="s">
        <v>78</v>
      </c>
      <c r="AE90" s="51" t="s">
        <v>79</v>
      </c>
      <c r="AF90" s="51" t="s">
        <v>79</v>
      </c>
      <c r="AG90" s="51" t="s">
        <v>75</v>
      </c>
      <c r="AH90" s="51" t="s">
        <v>78</v>
      </c>
    </row>
    <row r="91" hidden="1">
      <c r="A91" s="51" t="s">
        <v>99</v>
      </c>
      <c r="B91" s="45">
        <v>4.0</v>
      </c>
      <c r="C91" s="45">
        <v>2.0</v>
      </c>
      <c r="D91" s="51" t="s">
        <v>77</v>
      </c>
      <c r="E91" s="51" t="s">
        <v>78</v>
      </c>
      <c r="F91" s="51" t="s">
        <v>75</v>
      </c>
      <c r="G91" s="51" t="s">
        <v>76</v>
      </c>
      <c r="H91" s="51" t="s">
        <v>75</v>
      </c>
      <c r="I91" s="51" t="s">
        <v>76</v>
      </c>
      <c r="J91" s="51" t="s">
        <v>77</v>
      </c>
      <c r="K91" s="51" t="s">
        <v>75</v>
      </c>
      <c r="L91" s="51" t="s">
        <v>76</v>
      </c>
      <c r="M91" s="51" t="s">
        <v>76</v>
      </c>
      <c r="N91" s="51" t="s">
        <v>78</v>
      </c>
      <c r="O91" s="51" t="s">
        <v>75</v>
      </c>
      <c r="P91" s="51" t="s">
        <v>76</v>
      </c>
      <c r="Q91" s="51" t="s">
        <v>78</v>
      </c>
      <c r="R91" s="51" t="s">
        <v>76</v>
      </c>
      <c r="S91" s="45">
        <v>2.0</v>
      </c>
      <c r="T91" s="51" t="s">
        <v>76</v>
      </c>
      <c r="U91" s="51" t="s">
        <v>75</v>
      </c>
      <c r="V91" s="51" t="s">
        <v>75</v>
      </c>
      <c r="W91" s="51" t="s">
        <v>78</v>
      </c>
      <c r="X91" s="51" t="s">
        <v>75</v>
      </c>
      <c r="Y91" s="51" t="s">
        <v>76</v>
      </c>
      <c r="Z91" s="51" t="s">
        <v>75</v>
      </c>
      <c r="AA91" s="51" t="s">
        <v>79</v>
      </c>
      <c r="AB91" s="51" t="s">
        <v>77</v>
      </c>
      <c r="AC91" s="51" t="s">
        <v>78</v>
      </c>
      <c r="AD91" s="51" t="s">
        <v>79</v>
      </c>
      <c r="AE91" s="51" t="s">
        <v>77</v>
      </c>
      <c r="AF91" s="51" t="s">
        <v>79</v>
      </c>
      <c r="AG91" s="51" t="s">
        <v>78</v>
      </c>
      <c r="AH91" s="51" t="s">
        <v>78</v>
      </c>
    </row>
    <row r="92" hidden="1">
      <c r="A92" s="51" t="s">
        <v>38</v>
      </c>
      <c r="B92" s="45">
        <v>4.0</v>
      </c>
      <c r="C92" s="45">
        <v>1.0</v>
      </c>
      <c r="D92" s="51" t="s">
        <v>79</v>
      </c>
      <c r="E92" s="51" t="s">
        <v>77</v>
      </c>
      <c r="F92" s="51" t="s">
        <v>79</v>
      </c>
      <c r="G92" s="51" t="s">
        <v>78</v>
      </c>
      <c r="H92" s="51" t="s">
        <v>77</v>
      </c>
      <c r="I92" s="51" t="s">
        <v>78</v>
      </c>
      <c r="J92" s="51" t="s">
        <v>77</v>
      </c>
      <c r="K92" s="51" t="s">
        <v>77</v>
      </c>
      <c r="L92" s="51" t="s">
        <v>78</v>
      </c>
      <c r="M92" s="51" t="s">
        <v>76</v>
      </c>
      <c r="N92" s="51" t="s">
        <v>77</v>
      </c>
      <c r="O92" s="51" t="s">
        <v>75</v>
      </c>
      <c r="P92" s="51" t="s">
        <v>77</v>
      </c>
      <c r="Q92" s="51" t="s">
        <v>77</v>
      </c>
      <c r="R92" s="51" t="s">
        <v>76</v>
      </c>
      <c r="S92" s="45">
        <v>1.0</v>
      </c>
      <c r="T92" s="51" t="s">
        <v>76</v>
      </c>
      <c r="U92" s="51" t="s">
        <v>77</v>
      </c>
      <c r="V92" s="51" t="s">
        <v>76</v>
      </c>
      <c r="W92" s="51" t="s">
        <v>78</v>
      </c>
      <c r="X92" s="51" t="s">
        <v>77</v>
      </c>
      <c r="Y92" s="51" t="s">
        <v>76</v>
      </c>
      <c r="Z92" s="51" t="s">
        <v>76</v>
      </c>
      <c r="AA92" s="51" t="s">
        <v>75</v>
      </c>
      <c r="AB92" s="51" t="s">
        <v>79</v>
      </c>
      <c r="AC92" s="51" t="s">
        <v>79</v>
      </c>
      <c r="AD92" s="51" t="s">
        <v>76</v>
      </c>
      <c r="AE92" s="51" t="s">
        <v>77</v>
      </c>
      <c r="AF92" s="51" t="s">
        <v>77</v>
      </c>
      <c r="AG92" s="51" t="s">
        <v>79</v>
      </c>
      <c r="AH92" s="51" t="s">
        <v>76</v>
      </c>
    </row>
    <row r="93" hidden="1">
      <c r="A93" s="51" t="s">
        <v>39</v>
      </c>
      <c r="B93" s="45">
        <v>4.0</v>
      </c>
      <c r="C93" s="45">
        <v>1.0</v>
      </c>
      <c r="D93" s="51" t="s">
        <v>75</v>
      </c>
      <c r="E93" s="51" t="s">
        <v>78</v>
      </c>
      <c r="F93" s="51" t="s">
        <v>75</v>
      </c>
      <c r="G93" s="51" t="s">
        <v>79</v>
      </c>
      <c r="H93" s="51" t="s">
        <v>78</v>
      </c>
      <c r="I93" s="51" t="s">
        <v>75</v>
      </c>
      <c r="J93" s="51" t="s">
        <v>78</v>
      </c>
      <c r="K93" s="51" t="s">
        <v>79</v>
      </c>
      <c r="L93" s="51" t="s">
        <v>75</v>
      </c>
      <c r="M93" s="51" t="s">
        <v>76</v>
      </c>
      <c r="N93" s="51" t="s">
        <v>79</v>
      </c>
      <c r="O93" s="51" t="s">
        <v>75</v>
      </c>
      <c r="P93" s="51" t="s">
        <v>79</v>
      </c>
      <c r="Q93" s="51" t="s">
        <v>77</v>
      </c>
      <c r="R93" s="51" t="s">
        <v>75</v>
      </c>
      <c r="S93" s="45">
        <v>1.0</v>
      </c>
      <c r="T93" s="51" t="s">
        <v>75</v>
      </c>
      <c r="U93" s="51" t="s">
        <v>75</v>
      </c>
      <c r="V93" s="51" t="s">
        <v>78</v>
      </c>
      <c r="W93" s="51" t="s">
        <v>79</v>
      </c>
      <c r="X93" s="51" t="s">
        <v>79</v>
      </c>
      <c r="Y93" s="51" t="s">
        <v>75</v>
      </c>
      <c r="Z93" s="51" t="s">
        <v>78</v>
      </c>
      <c r="AA93" s="51" t="s">
        <v>75</v>
      </c>
      <c r="AB93" s="51" t="s">
        <v>78</v>
      </c>
      <c r="AC93" s="51" t="s">
        <v>79</v>
      </c>
      <c r="AD93" s="51" t="s">
        <v>75</v>
      </c>
      <c r="AE93" s="51" t="s">
        <v>78</v>
      </c>
      <c r="AF93" s="51" t="s">
        <v>77</v>
      </c>
      <c r="AG93" s="51" t="s">
        <v>79</v>
      </c>
      <c r="AH93" s="51" t="s">
        <v>75</v>
      </c>
    </row>
    <row r="94" hidden="1">
      <c r="A94" s="51" t="s">
        <v>40</v>
      </c>
      <c r="B94" s="45">
        <v>4.0</v>
      </c>
      <c r="C94" s="45">
        <v>1.0</v>
      </c>
      <c r="D94" s="51" t="s">
        <v>77</v>
      </c>
      <c r="E94" s="51" t="s">
        <v>77</v>
      </c>
      <c r="F94" s="51" t="s">
        <v>77</v>
      </c>
      <c r="G94" s="51" t="s">
        <v>77</v>
      </c>
      <c r="H94" s="51" t="s">
        <v>77</v>
      </c>
      <c r="I94" s="51" t="s">
        <v>77</v>
      </c>
      <c r="J94" s="51" t="s">
        <v>77</v>
      </c>
      <c r="K94" s="51" t="s">
        <v>77</v>
      </c>
      <c r="L94" s="51" t="s">
        <v>79</v>
      </c>
      <c r="M94" s="51" t="s">
        <v>78</v>
      </c>
      <c r="N94" s="51" t="s">
        <v>77</v>
      </c>
      <c r="O94" s="51" t="s">
        <v>78</v>
      </c>
      <c r="P94" s="51" t="s">
        <v>77</v>
      </c>
      <c r="Q94" s="51" t="s">
        <v>77</v>
      </c>
      <c r="R94" s="51" t="s">
        <v>78</v>
      </c>
      <c r="S94" s="45">
        <v>1.0</v>
      </c>
      <c r="T94" s="51" t="s">
        <v>78</v>
      </c>
      <c r="U94" s="51" t="s">
        <v>75</v>
      </c>
      <c r="V94" s="51" t="s">
        <v>78</v>
      </c>
      <c r="W94" s="51" t="s">
        <v>78</v>
      </c>
      <c r="X94" s="51" t="s">
        <v>78</v>
      </c>
      <c r="Y94" s="51" t="s">
        <v>75</v>
      </c>
      <c r="Z94" s="51" t="s">
        <v>75</v>
      </c>
      <c r="AA94" s="51" t="s">
        <v>77</v>
      </c>
      <c r="AB94" s="51" t="s">
        <v>79</v>
      </c>
      <c r="AC94" s="51" t="s">
        <v>78</v>
      </c>
      <c r="AD94" s="51" t="s">
        <v>75</v>
      </c>
      <c r="AE94" s="51" t="s">
        <v>79</v>
      </c>
      <c r="AF94" s="51" t="s">
        <v>77</v>
      </c>
      <c r="AG94" s="51" t="s">
        <v>79</v>
      </c>
      <c r="AH94" s="51" t="s">
        <v>79</v>
      </c>
    </row>
    <row r="95" hidden="1">
      <c r="A95" s="51" t="s">
        <v>41</v>
      </c>
      <c r="B95" s="45">
        <v>4.0</v>
      </c>
      <c r="C95" s="45">
        <v>1.0</v>
      </c>
      <c r="D95" s="51" t="s">
        <v>77</v>
      </c>
      <c r="E95" s="51" t="s">
        <v>77</v>
      </c>
      <c r="F95" s="51" t="s">
        <v>77</v>
      </c>
      <c r="G95" s="51" t="s">
        <v>76</v>
      </c>
      <c r="H95" s="51" t="s">
        <v>79</v>
      </c>
      <c r="I95" s="51" t="s">
        <v>79</v>
      </c>
      <c r="J95" s="51" t="s">
        <v>78</v>
      </c>
      <c r="K95" s="51" t="s">
        <v>77</v>
      </c>
      <c r="L95" s="51" t="s">
        <v>78</v>
      </c>
      <c r="M95" s="51" t="s">
        <v>76</v>
      </c>
      <c r="N95" s="51" t="s">
        <v>79</v>
      </c>
      <c r="O95" s="51" t="s">
        <v>78</v>
      </c>
      <c r="P95" s="51" t="s">
        <v>78</v>
      </c>
      <c r="Q95" s="51" t="s">
        <v>77</v>
      </c>
      <c r="R95" s="51" t="s">
        <v>76</v>
      </c>
      <c r="S95" s="45">
        <v>1.0</v>
      </c>
      <c r="T95" s="51" t="s">
        <v>75</v>
      </c>
      <c r="U95" s="51" t="s">
        <v>78</v>
      </c>
      <c r="V95" s="51" t="s">
        <v>78</v>
      </c>
      <c r="W95" s="51" t="s">
        <v>79</v>
      </c>
      <c r="X95" s="51" t="s">
        <v>77</v>
      </c>
      <c r="Y95" s="51" t="s">
        <v>75</v>
      </c>
      <c r="Z95" s="51" t="s">
        <v>76</v>
      </c>
      <c r="AA95" s="51" t="s">
        <v>79</v>
      </c>
      <c r="AB95" s="51" t="s">
        <v>77</v>
      </c>
      <c r="AC95" s="51" t="s">
        <v>79</v>
      </c>
      <c r="AD95" s="51" t="s">
        <v>75</v>
      </c>
      <c r="AE95" s="51" t="s">
        <v>79</v>
      </c>
      <c r="AF95" s="51" t="s">
        <v>79</v>
      </c>
      <c r="AG95" s="51" t="s">
        <v>78</v>
      </c>
      <c r="AH95" s="51" t="s">
        <v>78</v>
      </c>
    </row>
    <row r="96" hidden="1">
      <c r="A96" s="51" t="s">
        <v>42</v>
      </c>
      <c r="B96" s="45">
        <v>4.0</v>
      </c>
      <c r="C96" s="45">
        <v>1.0</v>
      </c>
      <c r="D96" s="51" t="s">
        <v>79</v>
      </c>
      <c r="E96" s="51" t="s">
        <v>75</v>
      </c>
      <c r="F96" s="51" t="s">
        <v>77</v>
      </c>
      <c r="G96" s="51" t="s">
        <v>79</v>
      </c>
      <c r="H96" s="51" t="s">
        <v>77</v>
      </c>
      <c r="I96" s="51" t="s">
        <v>78</v>
      </c>
      <c r="J96" s="51" t="s">
        <v>79</v>
      </c>
      <c r="K96" s="51" t="s">
        <v>77</v>
      </c>
      <c r="L96" s="51" t="s">
        <v>78</v>
      </c>
      <c r="M96" s="51" t="s">
        <v>76</v>
      </c>
      <c r="N96" s="51" t="s">
        <v>79</v>
      </c>
      <c r="O96" s="51" t="s">
        <v>75</v>
      </c>
      <c r="P96" s="51" t="s">
        <v>77</v>
      </c>
      <c r="Q96" s="51" t="s">
        <v>79</v>
      </c>
      <c r="R96" s="51" t="s">
        <v>76</v>
      </c>
      <c r="S96" s="45">
        <v>1.0</v>
      </c>
      <c r="T96" s="51" t="s">
        <v>76</v>
      </c>
      <c r="U96" s="51" t="s">
        <v>75</v>
      </c>
      <c r="V96" s="51" t="s">
        <v>76</v>
      </c>
      <c r="W96" s="51" t="s">
        <v>78</v>
      </c>
      <c r="X96" s="51" t="s">
        <v>78</v>
      </c>
      <c r="Y96" s="51" t="s">
        <v>76</v>
      </c>
      <c r="Z96" s="51" t="s">
        <v>75</v>
      </c>
      <c r="AA96" s="51" t="s">
        <v>79</v>
      </c>
      <c r="AB96" s="51" t="s">
        <v>77</v>
      </c>
      <c r="AC96" s="51" t="s">
        <v>78</v>
      </c>
      <c r="AD96" s="51" t="s">
        <v>75</v>
      </c>
      <c r="AE96" s="51" t="s">
        <v>77</v>
      </c>
      <c r="AF96" s="51" t="s">
        <v>79</v>
      </c>
      <c r="AG96" s="51" t="s">
        <v>79</v>
      </c>
      <c r="AH96" s="51" t="s">
        <v>76</v>
      </c>
    </row>
    <row r="97" hidden="1">
      <c r="A97" s="51" t="s">
        <v>43</v>
      </c>
      <c r="B97" s="45">
        <v>4.0</v>
      </c>
      <c r="C97" s="45">
        <v>1.0</v>
      </c>
      <c r="D97" s="51" t="s">
        <v>77</v>
      </c>
      <c r="E97" s="51" t="s">
        <v>77</v>
      </c>
      <c r="F97" s="51" t="s">
        <v>77</v>
      </c>
      <c r="G97" s="51" t="s">
        <v>78</v>
      </c>
      <c r="H97" s="51" t="s">
        <v>79</v>
      </c>
      <c r="I97" s="51" t="s">
        <v>75</v>
      </c>
      <c r="J97" s="51" t="s">
        <v>78</v>
      </c>
      <c r="K97" s="51" t="s">
        <v>77</v>
      </c>
      <c r="L97" s="51" t="s">
        <v>75</v>
      </c>
      <c r="M97" s="51" t="s">
        <v>76</v>
      </c>
      <c r="N97" s="51" t="s">
        <v>78</v>
      </c>
      <c r="O97" s="51" t="s">
        <v>79</v>
      </c>
      <c r="P97" s="51" t="s">
        <v>79</v>
      </c>
      <c r="Q97" s="51" t="s">
        <v>78</v>
      </c>
      <c r="R97" s="51" t="s">
        <v>76</v>
      </c>
      <c r="S97" s="45">
        <v>1.0</v>
      </c>
      <c r="T97" s="51" t="s">
        <v>76</v>
      </c>
      <c r="U97" s="51" t="s">
        <v>75</v>
      </c>
      <c r="V97" s="51" t="s">
        <v>75</v>
      </c>
      <c r="W97" s="51" t="s">
        <v>77</v>
      </c>
      <c r="X97" s="51" t="s">
        <v>78</v>
      </c>
      <c r="Y97" s="51" t="s">
        <v>76</v>
      </c>
      <c r="Z97" s="51" t="s">
        <v>76</v>
      </c>
      <c r="AA97" s="51" t="s">
        <v>77</v>
      </c>
      <c r="AB97" s="51" t="s">
        <v>77</v>
      </c>
      <c r="AC97" s="51" t="s">
        <v>79</v>
      </c>
      <c r="AD97" s="51" t="s">
        <v>78</v>
      </c>
      <c r="AE97" s="51" t="s">
        <v>77</v>
      </c>
      <c r="AF97" s="51" t="s">
        <v>77</v>
      </c>
      <c r="AG97" s="51" t="s">
        <v>78</v>
      </c>
      <c r="AH97" s="51" t="s">
        <v>75</v>
      </c>
    </row>
    <row r="98" hidden="1">
      <c r="A98" s="49" t="s">
        <v>80</v>
      </c>
      <c r="B98" s="56">
        <v>4.0</v>
      </c>
      <c r="C98" s="8"/>
      <c r="D98" s="49" t="s">
        <v>79</v>
      </c>
      <c r="E98" s="49" t="s">
        <v>75</v>
      </c>
      <c r="F98" s="49" t="s">
        <v>78</v>
      </c>
      <c r="G98" s="49" t="s">
        <v>76</v>
      </c>
      <c r="H98" s="49" t="s">
        <v>77</v>
      </c>
      <c r="I98" s="49" t="s">
        <v>75</v>
      </c>
      <c r="J98" s="49" t="s">
        <v>77</v>
      </c>
      <c r="K98" s="49" t="s">
        <v>78</v>
      </c>
      <c r="L98" s="49" t="s">
        <v>78</v>
      </c>
      <c r="M98" s="49" t="s">
        <v>76</v>
      </c>
      <c r="N98" s="49" t="s">
        <v>79</v>
      </c>
      <c r="O98" s="49" t="s">
        <v>78</v>
      </c>
      <c r="P98" s="49" t="s">
        <v>77</v>
      </c>
      <c r="Q98" s="49" t="s">
        <v>77</v>
      </c>
      <c r="R98" s="49" t="s">
        <v>75</v>
      </c>
      <c r="S98" s="8"/>
      <c r="T98" s="49" t="s">
        <v>76</v>
      </c>
      <c r="U98" s="49" t="s">
        <v>78</v>
      </c>
      <c r="V98" s="49" t="s">
        <v>75</v>
      </c>
      <c r="W98" s="49" t="s">
        <v>79</v>
      </c>
      <c r="X98" s="49" t="s">
        <v>79</v>
      </c>
      <c r="Y98" s="49" t="s">
        <v>75</v>
      </c>
      <c r="Z98" s="49" t="s">
        <v>76</v>
      </c>
      <c r="AA98" s="49" t="s">
        <v>79</v>
      </c>
      <c r="AB98" s="49" t="s">
        <v>77</v>
      </c>
      <c r="AC98" s="49" t="s">
        <v>76</v>
      </c>
      <c r="AD98" s="49" t="s">
        <v>78</v>
      </c>
      <c r="AE98" s="49" t="s">
        <v>75</v>
      </c>
      <c r="AF98" s="49" t="s">
        <v>77</v>
      </c>
      <c r="AG98" s="49" t="s">
        <v>79</v>
      </c>
      <c r="AH98" s="49" t="s">
        <v>76</v>
      </c>
    </row>
    <row r="99" hidden="1">
      <c r="A99" s="49" t="s">
        <v>81</v>
      </c>
      <c r="B99" s="57">
        <v>4.0</v>
      </c>
      <c r="C99" s="8"/>
      <c r="D99" s="56">
        <v>22.0</v>
      </c>
      <c r="E99" s="56">
        <v>24.0</v>
      </c>
      <c r="F99" s="56">
        <v>23.0</v>
      </c>
      <c r="G99" s="56">
        <v>30.0</v>
      </c>
      <c r="H99" s="56">
        <v>16.0</v>
      </c>
      <c r="I99" s="56">
        <v>29.0</v>
      </c>
      <c r="J99" s="56">
        <v>11.0</v>
      </c>
      <c r="K99" s="56">
        <v>18.0</v>
      </c>
      <c r="L99" s="56">
        <v>13.0</v>
      </c>
      <c r="M99" s="56">
        <v>10.0</v>
      </c>
      <c r="N99" s="56">
        <v>7.0</v>
      </c>
      <c r="O99" s="56">
        <v>28.0</v>
      </c>
      <c r="P99" s="56">
        <v>21.0</v>
      </c>
      <c r="Q99" s="56">
        <v>1.0</v>
      </c>
      <c r="R99" s="56">
        <v>9.0</v>
      </c>
      <c r="S99" s="8"/>
      <c r="T99" s="56">
        <v>15.0</v>
      </c>
      <c r="U99" s="56">
        <v>3.0</v>
      </c>
      <c r="V99" s="56">
        <v>14.0</v>
      </c>
      <c r="W99" s="56">
        <v>27.0</v>
      </c>
      <c r="X99" s="56">
        <v>2.0</v>
      </c>
      <c r="Y99" s="56">
        <v>4.0</v>
      </c>
      <c r="Z99" s="56">
        <v>5.0</v>
      </c>
      <c r="AA99" s="56">
        <v>17.0</v>
      </c>
      <c r="AB99" s="56">
        <v>26.0</v>
      </c>
      <c r="AC99" s="56">
        <v>20.0</v>
      </c>
      <c r="AD99" s="56">
        <v>8.0</v>
      </c>
      <c r="AE99" s="56">
        <v>19.0</v>
      </c>
      <c r="AF99" s="56">
        <v>6.0</v>
      </c>
      <c r="AG99" s="56">
        <v>12.0</v>
      </c>
      <c r="AH99" s="56">
        <v>25.0</v>
      </c>
    </row>
    <row r="100">
      <c r="A100" s="47" t="s">
        <v>82</v>
      </c>
      <c r="B100" s="8"/>
      <c r="C100" s="8"/>
      <c r="D100" s="58" t="str">
        <f t="shared" ref="D100:D112" si="70">IF(D86="B","1","0")</f>
        <v>0</v>
      </c>
      <c r="E100" s="8" t="str">
        <f t="shared" ref="E100:E112" si="71">IF(E86="D","1","0")</f>
        <v>0</v>
      </c>
      <c r="F100" s="8" t="str">
        <f t="shared" ref="F100:F112" si="72">IF(F86="C","1","0")</f>
        <v>0</v>
      </c>
      <c r="G100" s="8" t="str">
        <f t="shared" ref="G100:G112" si="73">IF(G86="E","1","0")</f>
        <v>0</v>
      </c>
      <c r="H100" s="8" t="str">
        <f t="shared" ref="H100:H112" si="74">IF(H86="A","1","0")</f>
        <v>0</v>
      </c>
      <c r="I100" s="8" t="str">
        <f t="shared" ref="I100:I112" si="75">IF(I86="D","1","0")</f>
        <v>0</v>
      </c>
      <c r="J100" s="8" t="str">
        <f t="shared" ref="J100:J112" si="76">IF(J86="A","1","0")</f>
        <v>0</v>
      </c>
      <c r="K100" s="8" t="str">
        <f t="shared" ref="K100:L100" si="68">IF(K86="C","1","0")</f>
        <v>1</v>
      </c>
      <c r="L100" s="8" t="str">
        <f t="shared" si="68"/>
        <v>0</v>
      </c>
      <c r="M100" s="58" t="str">
        <f t="shared" ref="M100:M112" si="78">IF(M86="E","1","0")</f>
        <v>1</v>
      </c>
      <c r="N100" s="8" t="str">
        <f t="shared" ref="N100:N112" si="79">IF(N86="B","1","0")</f>
        <v>0</v>
      </c>
      <c r="O100" s="8" t="str">
        <f t="shared" ref="O100:O112" si="80">IF(O86="C","1","0")</f>
        <v>1</v>
      </c>
      <c r="P100" s="8" t="str">
        <f t="shared" ref="P100:Q100" si="69">IF(P86="A","1","0")</f>
        <v>1</v>
      </c>
      <c r="Q100" s="8" t="str">
        <f t="shared" si="69"/>
        <v>1</v>
      </c>
      <c r="R100" s="8" t="str">
        <f t="shared" ref="R100:R112" si="82">IF(R86="D","1","0")</f>
        <v>0</v>
      </c>
      <c r="S100" s="59">
        <v>2.0</v>
      </c>
      <c r="T100" s="8" t="str">
        <f t="shared" ref="T100:T112" si="83">IF(T86="E","1","0")</f>
        <v>1</v>
      </c>
      <c r="U100" s="8" t="str">
        <f t="shared" ref="U100:U112" si="84">IF(U86="C","1","0")</f>
        <v>1</v>
      </c>
      <c r="V100" s="8" t="str">
        <f t="shared" ref="V100:V112" si="85">IF(V86="D","1","0")</f>
        <v>1</v>
      </c>
      <c r="W100" s="8" t="str">
        <f t="shared" ref="W100:W112" si="86">IF(T86="B","1","0")</f>
        <v>0</v>
      </c>
      <c r="X100" s="8" t="str">
        <f t="shared" ref="X100:X112" si="87">IF(X86="B","1","0")</f>
        <v>1</v>
      </c>
      <c r="Y100" s="8" t="str">
        <f t="shared" ref="Y100:Y112" si="88">IF(Y86="D","1","0")</f>
        <v>0</v>
      </c>
      <c r="Z100" s="8" t="str">
        <f t="shared" ref="Z100:Z112" si="89">IF(Z86="E","1","0")</f>
        <v>0</v>
      </c>
      <c r="AA100" s="8" t="str">
        <f t="shared" ref="AA100:AA112" si="90">IF(AA86="B","1","0")</f>
        <v>0</v>
      </c>
      <c r="AB100" s="8" t="str">
        <f t="shared" ref="AB100:AB112" si="91">IF(AB86="A","1","0")</f>
        <v>1</v>
      </c>
      <c r="AC100" s="8" t="str">
        <f t="shared" ref="AC100:AC112" si="92">IF(AC86="E","1","0")</f>
        <v>0</v>
      </c>
      <c r="AD100" s="8" t="str">
        <f t="shared" ref="AD100:AD112" si="93">IF(AD86="C","1","0")</f>
        <v>0</v>
      </c>
      <c r="AE100" s="8" t="str">
        <f t="shared" ref="AE100:AE112" si="94">IF(AE86="D","1","0")</f>
        <v>0</v>
      </c>
      <c r="AF100" s="8" t="str">
        <f t="shared" ref="AF100:AF112" si="95">IF(AF86="A","1","0")</f>
        <v>1</v>
      </c>
      <c r="AG100" s="8" t="str">
        <f t="shared" ref="AG100:AG112" si="96">IF(AG86="B","1","0")</f>
        <v>0</v>
      </c>
      <c r="AH100" s="8" t="str">
        <f t="shared" ref="AH100:AH112" si="97">IF(AH86="E","1","0")</f>
        <v>1</v>
      </c>
    </row>
    <row r="101">
      <c r="A101" s="8" t="s">
        <v>84</v>
      </c>
      <c r="B101" s="8">
        <v>4.0</v>
      </c>
      <c r="C101" s="8">
        <v>2.0</v>
      </c>
      <c r="D101" s="58" t="str">
        <f t="shared" si="70"/>
        <v>0</v>
      </c>
      <c r="E101" s="8" t="str">
        <f t="shared" si="71"/>
        <v>1</v>
      </c>
      <c r="F101" s="8" t="str">
        <f t="shared" si="72"/>
        <v>1</v>
      </c>
      <c r="G101" s="8" t="str">
        <f t="shared" si="73"/>
        <v>0</v>
      </c>
      <c r="H101" s="8" t="str">
        <f t="shared" si="74"/>
        <v>1</v>
      </c>
      <c r="I101" s="8" t="str">
        <f t="shared" si="75"/>
        <v>0</v>
      </c>
      <c r="J101" s="8" t="str">
        <f t="shared" si="76"/>
        <v>0</v>
      </c>
      <c r="K101" s="8" t="str">
        <f t="shared" ref="K101:L101" si="77">IF(K87="C","1","0")</f>
        <v>0</v>
      </c>
      <c r="L101" s="8" t="str">
        <f t="shared" si="77"/>
        <v>0</v>
      </c>
      <c r="M101" s="58" t="str">
        <f t="shared" si="78"/>
        <v>1</v>
      </c>
      <c r="N101" s="8" t="str">
        <f t="shared" si="79"/>
        <v>1</v>
      </c>
      <c r="O101" s="8" t="str">
        <f t="shared" si="80"/>
        <v>0</v>
      </c>
      <c r="P101" s="8" t="str">
        <f t="shared" ref="P101:Q101" si="81">IF(P87="A","1","0")</f>
        <v>0</v>
      </c>
      <c r="Q101" s="8" t="str">
        <f t="shared" si="81"/>
        <v>0</v>
      </c>
      <c r="R101" s="8" t="str">
        <f t="shared" si="82"/>
        <v>1</v>
      </c>
      <c r="S101" s="8">
        <v>2.0</v>
      </c>
      <c r="T101" s="8" t="str">
        <f t="shared" si="83"/>
        <v>0</v>
      </c>
      <c r="U101" s="8" t="str">
        <f t="shared" si="84"/>
        <v>0</v>
      </c>
      <c r="V101" s="8" t="str">
        <f t="shared" si="85"/>
        <v>0</v>
      </c>
      <c r="W101" s="8" t="str">
        <f t="shared" si="86"/>
        <v>0</v>
      </c>
      <c r="X101" s="8" t="str">
        <f t="shared" si="87"/>
        <v>0</v>
      </c>
      <c r="Y101" s="8" t="str">
        <f t="shared" si="88"/>
        <v>0</v>
      </c>
      <c r="Z101" s="8" t="str">
        <f t="shared" si="89"/>
        <v>0</v>
      </c>
      <c r="AA101" s="8" t="str">
        <f t="shared" si="90"/>
        <v>0</v>
      </c>
      <c r="AB101" s="8" t="str">
        <f t="shared" si="91"/>
        <v>1</v>
      </c>
      <c r="AC101" s="8" t="str">
        <f t="shared" si="92"/>
        <v>0</v>
      </c>
      <c r="AD101" s="8" t="str">
        <f t="shared" si="93"/>
        <v>0</v>
      </c>
      <c r="AE101" s="8" t="str">
        <f t="shared" si="94"/>
        <v>0</v>
      </c>
      <c r="AF101" s="8" t="str">
        <f t="shared" si="95"/>
        <v>1</v>
      </c>
      <c r="AG101" s="8" t="str">
        <f t="shared" si="96"/>
        <v>0</v>
      </c>
      <c r="AH101" s="8" t="str">
        <f t="shared" si="97"/>
        <v>0</v>
      </c>
    </row>
    <row r="102">
      <c r="A102" s="8" t="s">
        <v>34</v>
      </c>
      <c r="B102" s="8">
        <v>4.0</v>
      </c>
      <c r="C102" s="8">
        <v>2.0</v>
      </c>
      <c r="D102" s="58" t="str">
        <f t="shared" si="70"/>
        <v>1</v>
      </c>
      <c r="E102" s="8" t="str">
        <f t="shared" si="71"/>
        <v>1</v>
      </c>
      <c r="F102" s="8" t="str">
        <f t="shared" si="72"/>
        <v>0</v>
      </c>
      <c r="G102" s="8" t="str">
        <f t="shared" si="73"/>
        <v>1</v>
      </c>
      <c r="H102" s="8" t="str">
        <f t="shared" si="74"/>
        <v>0</v>
      </c>
      <c r="I102" s="8" t="str">
        <f t="shared" si="75"/>
        <v>0</v>
      </c>
      <c r="J102" s="8" t="str">
        <f t="shared" si="76"/>
        <v>1</v>
      </c>
      <c r="K102" s="8" t="str">
        <f t="shared" ref="K102:L102" si="98">IF(K88="C","1","0")</f>
        <v>0</v>
      </c>
      <c r="L102" s="8" t="str">
        <f t="shared" si="98"/>
        <v>1</v>
      </c>
      <c r="M102" s="58" t="str">
        <f t="shared" si="78"/>
        <v>1</v>
      </c>
      <c r="N102" s="8" t="str">
        <f t="shared" si="79"/>
        <v>1</v>
      </c>
      <c r="O102" s="8" t="str">
        <f t="shared" si="80"/>
        <v>1</v>
      </c>
      <c r="P102" s="8" t="str">
        <f t="shared" ref="P102:Q102" si="99">IF(P88="A","1","0")</f>
        <v>1</v>
      </c>
      <c r="Q102" s="8" t="str">
        <f t="shared" si="99"/>
        <v>0</v>
      </c>
      <c r="R102" s="8" t="str">
        <f t="shared" si="82"/>
        <v>1</v>
      </c>
      <c r="S102" s="8">
        <v>2.0</v>
      </c>
      <c r="T102" s="8" t="str">
        <f t="shared" si="83"/>
        <v>1</v>
      </c>
      <c r="U102" s="8" t="str">
        <f t="shared" si="84"/>
        <v>0</v>
      </c>
      <c r="V102" s="8" t="str">
        <f t="shared" si="85"/>
        <v>1</v>
      </c>
      <c r="W102" s="8" t="str">
        <f t="shared" si="86"/>
        <v>0</v>
      </c>
      <c r="X102" s="8" t="str">
        <f t="shared" si="87"/>
        <v>0</v>
      </c>
      <c r="Y102" s="8" t="str">
        <f t="shared" si="88"/>
        <v>0</v>
      </c>
      <c r="Z102" s="8" t="str">
        <f t="shared" si="89"/>
        <v>1</v>
      </c>
      <c r="AA102" s="8" t="str">
        <f t="shared" si="90"/>
        <v>0</v>
      </c>
      <c r="AB102" s="8" t="str">
        <f t="shared" si="91"/>
        <v>1</v>
      </c>
      <c r="AC102" s="8" t="str">
        <f t="shared" si="92"/>
        <v>0</v>
      </c>
      <c r="AD102" s="8" t="str">
        <f t="shared" si="93"/>
        <v>0</v>
      </c>
      <c r="AE102" s="8" t="str">
        <f t="shared" si="94"/>
        <v>0</v>
      </c>
      <c r="AF102" s="8" t="str">
        <f t="shared" si="95"/>
        <v>0</v>
      </c>
      <c r="AG102" s="8" t="str">
        <f t="shared" si="96"/>
        <v>0</v>
      </c>
      <c r="AH102" s="8" t="str">
        <f t="shared" si="97"/>
        <v>1</v>
      </c>
    </row>
    <row r="103">
      <c r="A103" s="8" t="s">
        <v>35</v>
      </c>
      <c r="B103" s="8">
        <v>4.0</v>
      </c>
      <c r="C103" s="8">
        <v>2.0</v>
      </c>
      <c r="D103" s="58" t="str">
        <f t="shared" si="70"/>
        <v>0</v>
      </c>
      <c r="E103" s="8" t="str">
        <f t="shared" si="71"/>
        <v>0</v>
      </c>
      <c r="F103" s="8" t="str">
        <f t="shared" si="72"/>
        <v>1</v>
      </c>
      <c r="G103" s="8" t="str">
        <f t="shared" si="73"/>
        <v>0</v>
      </c>
      <c r="H103" s="8" t="str">
        <f t="shared" si="74"/>
        <v>0</v>
      </c>
      <c r="I103" s="8" t="str">
        <f t="shared" si="75"/>
        <v>0</v>
      </c>
      <c r="J103" s="8" t="str">
        <f t="shared" si="76"/>
        <v>0</v>
      </c>
      <c r="K103" s="8" t="str">
        <f t="shared" ref="K103:L103" si="100">IF(K89="C","1","0")</f>
        <v>1</v>
      </c>
      <c r="L103" s="8" t="str">
        <f t="shared" si="100"/>
        <v>0</v>
      </c>
      <c r="M103" s="58" t="str">
        <f t="shared" si="78"/>
        <v>1</v>
      </c>
      <c r="N103" s="8" t="str">
        <f t="shared" si="79"/>
        <v>0</v>
      </c>
      <c r="O103" s="8" t="str">
        <f t="shared" si="80"/>
        <v>0</v>
      </c>
      <c r="P103" s="8" t="str">
        <f t="shared" ref="P103:Q103" si="101">IF(P89="A","1","0")</f>
        <v>1</v>
      </c>
      <c r="Q103" s="8" t="str">
        <f t="shared" si="101"/>
        <v>1</v>
      </c>
      <c r="R103" s="8" t="str">
        <f t="shared" si="82"/>
        <v>1</v>
      </c>
      <c r="S103" s="8">
        <v>2.0</v>
      </c>
      <c r="T103" s="8" t="str">
        <f t="shared" si="83"/>
        <v>0</v>
      </c>
      <c r="U103" s="8" t="str">
        <f t="shared" si="84"/>
        <v>1</v>
      </c>
      <c r="V103" s="8" t="str">
        <f t="shared" si="85"/>
        <v>1</v>
      </c>
      <c r="W103" s="8" t="str">
        <f t="shared" si="86"/>
        <v>0</v>
      </c>
      <c r="X103" s="8" t="str">
        <f t="shared" si="87"/>
        <v>1</v>
      </c>
      <c r="Y103" s="8" t="str">
        <f t="shared" si="88"/>
        <v>0</v>
      </c>
      <c r="Z103" s="8" t="str">
        <f t="shared" si="89"/>
        <v>1</v>
      </c>
      <c r="AA103" s="8" t="str">
        <f t="shared" si="90"/>
        <v>1</v>
      </c>
      <c r="AB103" s="8" t="str">
        <f t="shared" si="91"/>
        <v>0</v>
      </c>
      <c r="AC103" s="8" t="str">
        <f t="shared" si="92"/>
        <v>0</v>
      </c>
      <c r="AD103" s="8" t="str">
        <f t="shared" si="93"/>
        <v>0</v>
      </c>
      <c r="AE103" s="8" t="str">
        <f t="shared" si="94"/>
        <v>0</v>
      </c>
      <c r="AF103" s="8" t="str">
        <f t="shared" si="95"/>
        <v>0</v>
      </c>
      <c r="AG103" s="8" t="str">
        <f t="shared" si="96"/>
        <v>0</v>
      </c>
      <c r="AH103" s="8" t="str">
        <f t="shared" si="97"/>
        <v>0</v>
      </c>
    </row>
    <row r="104">
      <c r="A104" s="8" t="s">
        <v>36</v>
      </c>
      <c r="B104" s="8">
        <v>4.0</v>
      </c>
      <c r="C104" s="8">
        <v>2.0</v>
      </c>
      <c r="D104" s="58" t="str">
        <f t="shared" si="70"/>
        <v>0</v>
      </c>
      <c r="E104" s="8" t="str">
        <f t="shared" si="71"/>
        <v>0</v>
      </c>
      <c r="F104" s="8" t="str">
        <f t="shared" si="72"/>
        <v>0</v>
      </c>
      <c r="G104" s="8" t="str">
        <f t="shared" si="73"/>
        <v>0</v>
      </c>
      <c r="H104" s="8" t="str">
        <f t="shared" si="74"/>
        <v>1</v>
      </c>
      <c r="I104" s="8" t="str">
        <f t="shared" si="75"/>
        <v>0</v>
      </c>
      <c r="J104" s="8" t="str">
        <f t="shared" si="76"/>
        <v>0</v>
      </c>
      <c r="K104" s="8" t="str">
        <f t="shared" ref="K104:L104" si="102">IF(K90="C","1","0")</f>
        <v>0</v>
      </c>
      <c r="L104" s="8" t="str">
        <f t="shared" si="102"/>
        <v>0</v>
      </c>
      <c r="M104" s="58" t="str">
        <f t="shared" si="78"/>
        <v>1</v>
      </c>
      <c r="N104" s="8" t="str">
        <f t="shared" si="79"/>
        <v>0</v>
      </c>
      <c r="O104" s="8" t="str">
        <f t="shared" si="80"/>
        <v>0</v>
      </c>
      <c r="P104" s="8" t="str">
        <f t="shared" ref="P104:Q104" si="103">IF(P90="A","1","0")</f>
        <v>1</v>
      </c>
      <c r="Q104" s="8" t="str">
        <f t="shared" si="103"/>
        <v>0</v>
      </c>
      <c r="R104" s="8" t="str">
        <f t="shared" si="82"/>
        <v>0</v>
      </c>
      <c r="S104" s="8">
        <v>2.0</v>
      </c>
      <c r="T104" s="8" t="str">
        <f t="shared" si="83"/>
        <v>0</v>
      </c>
      <c r="U104" s="8" t="str">
        <f t="shared" si="84"/>
        <v>0</v>
      </c>
      <c r="V104" s="8" t="str">
        <f t="shared" si="85"/>
        <v>1</v>
      </c>
      <c r="W104" s="8" t="str">
        <f t="shared" si="86"/>
        <v>0</v>
      </c>
      <c r="X104" s="8" t="str">
        <f t="shared" si="87"/>
        <v>0</v>
      </c>
      <c r="Y104" s="8" t="str">
        <f t="shared" si="88"/>
        <v>0</v>
      </c>
      <c r="Z104" s="8" t="str">
        <f t="shared" si="89"/>
        <v>0</v>
      </c>
      <c r="AA104" s="8" t="str">
        <f t="shared" si="90"/>
        <v>1</v>
      </c>
      <c r="AB104" s="8" t="str">
        <f t="shared" si="91"/>
        <v>1</v>
      </c>
      <c r="AC104" s="8" t="str">
        <f t="shared" si="92"/>
        <v>0</v>
      </c>
      <c r="AD104" s="8" t="str">
        <f t="shared" si="93"/>
        <v>1</v>
      </c>
      <c r="AE104" s="8" t="str">
        <f t="shared" si="94"/>
        <v>0</v>
      </c>
      <c r="AF104" s="8" t="str">
        <f t="shared" si="95"/>
        <v>0</v>
      </c>
      <c r="AG104" s="8" t="str">
        <f t="shared" si="96"/>
        <v>0</v>
      </c>
      <c r="AH104" s="8" t="str">
        <f t="shared" si="97"/>
        <v>0</v>
      </c>
    </row>
    <row r="105">
      <c r="A105" s="8" t="s">
        <v>99</v>
      </c>
      <c r="B105" s="8">
        <v>4.0</v>
      </c>
      <c r="C105" s="8">
        <v>2.0</v>
      </c>
      <c r="D105" s="58" t="str">
        <f t="shared" si="70"/>
        <v>0</v>
      </c>
      <c r="E105" s="8" t="str">
        <f t="shared" si="71"/>
        <v>0</v>
      </c>
      <c r="F105" s="8" t="str">
        <f t="shared" si="72"/>
        <v>0</v>
      </c>
      <c r="G105" s="8" t="str">
        <f t="shared" si="73"/>
        <v>1</v>
      </c>
      <c r="H105" s="8" t="str">
        <f t="shared" si="74"/>
        <v>0</v>
      </c>
      <c r="I105" s="8" t="str">
        <f t="shared" si="75"/>
        <v>0</v>
      </c>
      <c r="J105" s="8" t="str">
        <f t="shared" si="76"/>
        <v>1</v>
      </c>
      <c r="K105" s="8" t="str">
        <f t="shared" ref="K105:L105" si="104">IF(K91="C","1","0")</f>
        <v>0</v>
      </c>
      <c r="L105" s="8" t="str">
        <f t="shared" si="104"/>
        <v>0</v>
      </c>
      <c r="M105" s="58" t="str">
        <f t="shared" si="78"/>
        <v>1</v>
      </c>
      <c r="N105" s="8" t="str">
        <f t="shared" si="79"/>
        <v>0</v>
      </c>
      <c r="O105" s="8" t="str">
        <f t="shared" si="80"/>
        <v>0</v>
      </c>
      <c r="P105" s="8" t="str">
        <f t="shared" ref="P105:Q105" si="105">IF(P91="A","1","0")</f>
        <v>0</v>
      </c>
      <c r="Q105" s="8" t="str">
        <f t="shared" si="105"/>
        <v>0</v>
      </c>
      <c r="R105" s="8" t="str">
        <f t="shared" si="82"/>
        <v>0</v>
      </c>
      <c r="S105" s="8">
        <v>2.0</v>
      </c>
      <c r="T105" s="8" t="str">
        <f t="shared" si="83"/>
        <v>1</v>
      </c>
      <c r="U105" s="8" t="str">
        <f t="shared" si="84"/>
        <v>0</v>
      </c>
      <c r="V105" s="8" t="str">
        <f t="shared" si="85"/>
        <v>1</v>
      </c>
      <c r="W105" s="8" t="str">
        <f t="shared" si="86"/>
        <v>0</v>
      </c>
      <c r="X105" s="8" t="str">
        <f t="shared" si="87"/>
        <v>0</v>
      </c>
      <c r="Y105" s="8" t="str">
        <f t="shared" si="88"/>
        <v>0</v>
      </c>
      <c r="Z105" s="8" t="str">
        <f t="shared" si="89"/>
        <v>0</v>
      </c>
      <c r="AA105" s="8" t="str">
        <f t="shared" si="90"/>
        <v>1</v>
      </c>
      <c r="AB105" s="8" t="str">
        <f t="shared" si="91"/>
        <v>1</v>
      </c>
      <c r="AC105" s="8" t="str">
        <f t="shared" si="92"/>
        <v>0</v>
      </c>
      <c r="AD105" s="8" t="str">
        <f t="shared" si="93"/>
        <v>0</v>
      </c>
      <c r="AE105" s="8" t="str">
        <f t="shared" si="94"/>
        <v>0</v>
      </c>
      <c r="AF105" s="8" t="str">
        <f t="shared" si="95"/>
        <v>0</v>
      </c>
      <c r="AG105" s="8" t="str">
        <f t="shared" si="96"/>
        <v>0</v>
      </c>
      <c r="AH105" s="8" t="str">
        <f t="shared" si="97"/>
        <v>0</v>
      </c>
    </row>
    <row r="106">
      <c r="A106" s="8" t="s">
        <v>38</v>
      </c>
      <c r="B106" s="8">
        <v>4.0</v>
      </c>
      <c r="C106" s="8">
        <v>1.0</v>
      </c>
      <c r="D106" s="58" t="str">
        <f t="shared" si="70"/>
        <v>1</v>
      </c>
      <c r="E106" s="8" t="str">
        <f t="shared" si="71"/>
        <v>0</v>
      </c>
      <c r="F106" s="8" t="str">
        <f t="shared" si="72"/>
        <v>0</v>
      </c>
      <c r="G106" s="8" t="str">
        <f t="shared" si="73"/>
        <v>0</v>
      </c>
      <c r="H106" s="8" t="str">
        <f t="shared" si="74"/>
        <v>1</v>
      </c>
      <c r="I106" s="8" t="str">
        <f t="shared" si="75"/>
        <v>0</v>
      </c>
      <c r="J106" s="8" t="str">
        <f t="shared" si="76"/>
        <v>1</v>
      </c>
      <c r="K106" s="8" t="str">
        <f t="shared" ref="K106:L106" si="106">IF(K92="C","1","0")</f>
        <v>0</v>
      </c>
      <c r="L106" s="8" t="str">
        <f t="shared" si="106"/>
        <v>1</v>
      </c>
      <c r="M106" s="58" t="str">
        <f t="shared" si="78"/>
        <v>1</v>
      </c>
      <c r="N106" s="8" t="str">
        <f t="shared" si="79"/>
        <v>0</v>
      </c>
      <c r="O106" s="8" t="str">
        <f t="shared" si="80"/>
        <v>0</v>
      </c>
      <c r="P106" s="8" t="str">
        <f t="shared" ref="P106:Q106" si="107">IF(P92="A","1","0")</f>
        <v>1</v>
      </c>
      <c r="Q106" s="8" t="str">
        <f t="shared" si="107"/>
        <v>1</v>
      </c>
      <c r="R106" s="8" t="str">
        <f t="shared" si="82"/>
        <v>0</v>
      </c>
      <c r="S106" s="8">
        <v>1.0</v>
      </c>
      <c r="T106" s="8" t="str">
        <f t="shared" si="83"/>
        <v>1</v>
      </c>
      <c r="U106" s="8" t="str">
        <f t="shared" si="84"/>
        <v>0</v>
      </c>
      <c r="V106" s="8" t="str">
        <f t="shared" si="85"/>
        <v>0</v>
      </c>
      <c r="W106" s="8" t="str">
        <f t="shared" si="86"/>
        <v>0</v>
      </c>
      <c r="X106" s="8" t="str">
        <f t="shared" si="87"/>
        <v>0</v>
      </c>
      <c r="Y106" s="8" t="str">
        <f t="shared" si="88"/>
        <v>0</v>
      </c>
      <c r="Z106" s="8" t="str">
        <f t="shared" si="89"/>
        <v>1</v>
      </c>
      <c r="AA106" s="8" t="str">
        <f t="shared" si="90"/>
        <v>0</v>
      </c>
      <c r="AB106" s="8" t="str">
        <f t="shared" si="91"/>
        <v>0</v>
      </c>
      <c r="AC106" s="8" t="str">
        <f t="shared" si="92"/>
        <v>0</v>
      </c>
      <c r="AD106" s="8" t="str">
        <f t="shared" si="93"/>
        <v>0</v>
      </c>
      <c r="AE106" s="8" t="str">
        <f t="shared" si="94"/>
        <v>0</v>
      </c>
      <c r="AF106" s="8" t="str">
        <f t="shared" si="95"/>
        <v>1</v>
      </c>
      <c r="AG106" s="8" t="str">
        <f t="shared" si="96"/>
        <v>1</v>
      </c>
      <c r="AH106" s="8" t="str">
        <f t="shared" si="97"/>
        <v>1</v>
      </c>
    </row>
    <row r="107">
      <c r="A107" s="8" t="s">
        <v>39</v>
      </c>
      <c r="B107" s="8">
        <v>4.0</v>
      </c>
      <c r="C107" s="8">
        <v>1.0</v>
      </c>
      <c r="D107" s="58" t="str">
        <f t="shared" si="70"/>
        <v>0</v>
      </c>
      <c r="E107" s="8" t="str">
        <f t="shared" si="71"/>
        <v>0</v>
      </c>
      <c r="F107" s="8" t="str">
        <f t="shared" si="72"/>
        <v>0</v>
      </c>
      <c r="G107" s="8" t="str">
        <f t="shared" si="73"/>
        <v>0</v>
      </c>
      <c r="H107" s="8" t="str">
        <f t="shared" si="74"/>
        <v>0</v>
      </c>
      <c r="I107" s="8" t="str">
        <f t="shared" si="75"/>
        <v>1</v>
      </c>
      <c r="J107" s="8" t="str">
        <f t="shared" si="76"/>
        <v>0</v>
      </c>
      <c r="K107" s="8" t="str">
        <f t="shared" ref="K107:L107" si="108">IF(K93="C","1","0")</f>
        <v>0</v>
      </c>
      <c r="L107" s="8" t="str">
        <f t="shared" si="108"/>
        <v>0</v>
      </c>
      <c r="M107" s="58" t="str">
        <f t="shared" si="78"/>
        <v>1</v>
      </c>
      <c r="N107" s="8" t="str">
        <f t="shared" si="79"/>
        <v>1</v>
      </c>
      <c r="O107" s="8" t="str">
        <f t="shared" si="80"/>
        <v>0</v>
      </c>
      <c r="P107" s="8" t="str">
        <f t="shared" ref="P107:Q107" si="109">IF(P93="A","1","0")</f>
        <v>0</v>
      </c>
      <c r="Q107" s="8" t="str">
        <f t="shared" si="109"/>
        <v>1</v>
      </c>
      <c r="R107" s="8" t="str">
        <f t="shared" si="82"/>
        <v>1</v>
      </c>
      <c r="S107" s="8">
        <v>1.0</v>
      </c>
      <c r="T107" s="8" t="str">
        <f t="shared" si="83"/>
        <v>0</v>
      </c>
      <c r="U107" s="8" t="str">
        <f t="shared" si="84"/>
        <v>0</v>
      </c>
      <c r="V107" s="8" t="str">
        <f t="shared" si="85"/>
        <v>0</v>
      </c>
      <c r="W107" s="8" t="str">
        <f t="shared" si="86"/>
        <v>0</v>
      </c>
      <c r="X107" s="8" t="str">
        <f t="shared" si="87"/>
        <v>1</v>
      </c>
      <c r="Y107" s="8" t="str">
        <f t="shared" si="88"/>
        <v>1</v>
      </c>
      <c r="Z107" s="8" t="str">
        <f t="shared" si="89"/>
        <v>0</v>
      </c>
      <c r="AA107" s="8" t="str">
        <f t="shared" si="90"/>
        <v>0</v>
      </c>
      <c r="AB107" s="8" t="str">
        <f t="shared" si="91"/>
        <v>0</v>
      </c>
      <c r="AC107" s="8" t="str">
        <f t="shared" si="92"/>
        <v>0</v>
      </c>
      <c r="AD107" s="8" t="str">
        <f t="shared" si="93"/>
        <v>0</v>
      </c>
      <c r="AE107" s="8" t="str">
        <f t="shared" si="94"/>
        <v>0</v>
      </c>
      <c r="AF107" s="8" t="str">
        <f t="shared" si="95"/>
        <v>1</v>
      </c>
      <c r="AG107" s="8" t="str">
        <f t="shared" si="96"/>
        <v>1</v>
      </c>
      <c r="AH107" s="8" t="str">
        <f t="shared" si="97"/>
        <v>0</v>
      </c>
    </row>
    <row r="108">
      <c r="A108" s="8" t="s">
        <v>40</v>
      </c>
      <c r="B108" s="8">
        <v>4.0</v>
      </c>
      <c r="C108" s="8">
        <v>1.0</v>
      </c>
      <c r="D108" s="58" t="str">
        <f t="shared" si="70"/>
        <v>0</v>
      </c>
      <c r="E108" s="8" t="str">
        <f t="shared" si="71"/>
        <v>0</v>
      </c>
      <c r="F108" s="8" t="str">
        <f t="shared" si="72"/>
        <v>0</v>
      </c>
      <c r="G108" s="8" t="str">
        <f t="shared" si="73"/>
        <v>0</v>
      </c>
      <c r="H108" s="8" t="str">
        <f t="shared" si="74"/>
        <v>1</v>
      </c>
      <c r="I108" s="8" t="str">
        <f t="shared" si="75"/>
        <v>0</v>
      </c>
      <c r="J108" s="8" t="str">
        <f t="shared" si="76"/>
        <v>1</v>
      </c>
      <c r="K108" s="8" t="str">
        <f t="shared" ref="K108:L108" si="110">IF(K94="C","1","0")</f>
        <v>0</v>
      </c>
      <c r="L108" s="8" t="str">
        <f t="shared" si="110"/>
        <v>0</v>
      </c>
      <c r="M108" s="58" t="str">
        <f t="shared" si="78"/>
        <v>0</v>
      </c>
      <c r="N108" s="8" t="str">
        <f t="shared" si="79"/>
        <v>0</v>
      </c>
      <c r="O108" s="8" t="str">
        <f t="shared" si="80"/>
        <v>1</v>
      </c>
      <c r="P108" s="8" t="str">
        <f t="shared" ref="P108:Q108" si="111">IF(P94="A","1","0")</f>
        <v>1</v>
      </c>
      <c r="Q108" s="8" t="str">
        <f t="shared" si="111"/>
        <v>1</v>
      </c>
      <c r="R108" s="8" t="str">
        <f t="shared" si="82"/>
        <v>0</v>
      </c>
      <c r="S108" s="8">
        <v>1.0</v>
      </c>
      <c r="T108" s="8" t="str">
        <f t="shared" si="83"/>
        <v>0</v>
      </c>
      <c r="U108" s="8" t="str">
        <f t="shared" si="84"/>
        <v>0</v>
      </c>
      <c r="V108" s="8" t="str">
        <f t="shared" si="85"/>
        <v>0</v>
      </c>
      <c r="W108" s="8" t="str">
        <f t="shared" si="86"/>
        <v>0</v>
      </c>
      <c r="X108" s="8" t="str">
        <f t="shared" si="87"/>
        <v>0</v>
      </c>
      <c r="Y108" s="8" t="str">
        <f t="shared" si="88"/>
        <v>1</v>
      </c>
      <c r="Z108" s="8" t="str">
        <f t="shared" si="89"/>
        <v>0</v>
      </c>
      <c r="AA108" s="8" t="str">
        <f t="shared" si="90"/>
        <v>0</v>
      </c>
      <c r="AB108" s="8" t="str">
        <f t="shared" si="91"/>
        <v>0</v>
      </c>
      <c r="AC108" s="8" t="str">
        <f t="shared" si="92"/>
        <v>0</v>
      </c>
      <c r="AD108" s="8" t="str">
        <f t="shared" si="93"/>
        <v>0</v>
      </c>
      <c r="AE108" s="8" t="str">
        <f t="shared" si="94"/>
        <v>0</v>
      </c>
      <c r="AF108" s="8" t="str">
        <f t="shared" si="95"/>
        <v>1</v>
      </c>
      <c r="AG108" s="8" t="str">
        <f t="shared" si="96"/>
        <v>1</v>
      </c>
      <c r="AH108" s="8" t="str">
        <f t="shared" si="97"/>
        <v>0</v>
      </c>
    </row>
    <row r="109">
      <c r="A109" s="8" t="s">
        <v>41</v>
      </c>
      <c r="B109" s="8">
        <v>4.0</v>
      </c>
      <c r="C109" s="8">
        <v>1.0</v>
      </c>
      <c r="D109" s="58" t="str">
        <f t="shared" si="70"/>
        <v>0</v>
      </c>
      <c r="E109" s="8" t="str">
        <f t="shared" si="71"/>
        <v>0</v>
      </c>
      <c r="F109" s="8" t="str">
        <f t="shared" si="72"/>
        <v>0</v>
      </c>
      <c r="G109" s="8" t="str">
        <f t="shared" si="73"/>
        <v>1</v>
      </c>
      <c r="H109" s="8" t="str">
        <f t="shared" si="74"/>
        <v>0</v>
      </c>
      <c r="I109" s="8" t="str">
        <f t="shared" si="75"/>
        <v>0</v>
      </c>
      <c r="J109" s="8" t="str">
        <f t="shared" si="76"/>
        <v>0</v>
      </c>
      <c r="K109" s="8" t="str">
        <f t="shared" ref="K109:L109" si="112">IF(K95="C","1","0")</f>
        <v>0</v>
      </c>
      <c r="L109" s="8" t="str">
        <f t="shared" si="112"/>
        <v>1</v>
      </c>
      <c r="M109" s="58" t="str">
        <f t="shared" si="78"/>
        <v>1</v>
      </c>
      <c r="N109" s="8" t="str">
        <f t="shared" si="79"/>
        <v>1</v>
      </c>
      <c r="O109" s="8" t="str">
        <f t="shared" si="80"/>
        <v>1</v>
      </c>
      <c r="P109" s="8" t="str">
        <f t="shared" ref="P109:Q109" si="113">IF(P95="A","1","0")</f>
        <v>0</v>
      </c>
      <c r="Q109" s="8" t="str">
        <f t="shared" si="113"/>
        <v>1</v>
      </c>
      <c r="R109" s="8" t="str">
        <f t="shared" si="82"/>
        <v>0</v>
      </c>
      <c r="S109" s="8">
        <v>1.0</v>
      </c>
      <c r="T109" s="8" t="str">
        <f t="shared" si="83"/>
        <v>0</v>
      </c>
      <c r="U109" s="8" t="str">
        <f t="shared" si="84"/>
        <v>1</v>
      </c>
      <c r="V109" s="8" t="str">
        <f t="shared" si="85"/>
        <v>0</v>
      </c>
      <c r="W109" s="8" t="str">
        <f t="shared" si="86"/>
        <v>0</v>
      </c>
      <c r="X109" s="8" t="str">
        <f t="shared" si="87"/>
        <v>0</v>
      </c>
      <c r="Y109" s="8" t="str">
        <f t="shared" si="88"/>
        <v>1</v>
      </c>
      <c r="Z109" s="8" t="str">
        <f t="shared" si="89"/>
        <v>1</v>
      </c>
      <c r="AA109" s="8" t="str">
        <f t="shared" si="90"/>
        <v>1</v>
      </c>
      <c r="AB109" s="8" t="str">
        <f t="shared" si="91"/>
        <v>1</v>
      </c>
      <c r="AC109" s="8" t="str">
        <f t="shared" si="92"/>
        <v>0</v>
      </c>
      <c r="AD109" s="8" t="str">
        <f t="shared" si="93"/>
        <v>0</v>
      </c>
      <c r="AE109" s="8" t="str">
        <f t="shared" si="94"/>
        <v>0</v>
      </c>
      <c r="AF109" s="8" t="str">
        <f t="shared" si="95"/>
        <v>0</v>
      </c>
      <c r="AG109" s="8" t="str">
        <f t="shared" si="96"/>
        <v>0</v>
      </c>
      <c r="AH109" s="8" t="str">
        <f t="shared" si="97"/>
        <v>0</v>
      </c>
    </row>
    <row r="110">
      <c r="A110" s="8" t="s">
        <v>42</v>
      </c>
      <c r="B110" s="8">
        <v>4.0</v>
      </c>
      <c r="C110" s="8">
        <v>1.0</v>
      </c>
      <c r="D110" s="58" t="str">
        <f t="shared" si="70"/>
        <v>1</v>
      </c>
      <c r="E110" s="8" t="str">
        <f t="shared" si="71"/>
        <v>1</v>
      </c>
      <c r="F110" s="8" t="str">
        <f t="shared" si="72"/>
        <v>0</v>
      </c>
      <c r="G110" s="8" t="str">
        <f t="shared" si="73"/>
        <v>0</v>
      </c>
      <c r="H110" s="8" t="str">
        <f t="shared" si="74"/>
        <v>1</v>
      </c>
      <c r="I110" s="8" t="str">
        <f t="shared" si="75"/>
        <v>0</v>
      </c>
      <c r="J110" s="8" t="str">
        <f t="shared" si="76"/>
        <v>0</v>
      </c>
      <c r="K110" s="8" t="str">
        <f t="shared" ref="K110:L110" si="114">IF(K96="C","1","0")</f>
        <v>0</v>
      </c>
      <c r="L110" s="8" t="str">
        <f t="shared" si="114"/>
        <v>1</v>
      </c>
      <c r="M110" s="58" t="str">
        <f t="shared" si="78"/>
        <v>1</v>
      </c>
      <c r="N110" s="8" t="str">
        <f t="shared" si="79"/>
        <v>1</v>
      </c>
      <c r="O110" s="8" t="str">
        <f t="shared" si="80"/>
        <v>0</v>
      </c>
      <c r="P110" s="8" t="str">
        <f t="shared" ref="P110:Q110" si="115">IF(P96="A","1","0")</f>
        <v>1</v>
      </c>
      <c r="Q110" s="8" t="str">
        <f t="shared" si="115"/>
        <v>0</v>
      </c>
      <c r="R110" s="8" t="str">
        <f t="shared" si="82"/>
        <v>0</v>
      </c>
      <c r="S110" s="8">
        <v>1.0</v>
      </c>
      <c r="T110" s="8" t="str">
        <f t="shared" si="83"/>
        <v>1</v>
      </c>
      <c r="U110" s="8" t="str">
        <f t="shared" si="84"/>
        <v>0</v>
      </c>
      <c r="V110" s="8" t="str">
        <f t="shared" si="85"/>
        <v>0</v>
      </c>
      <c r="W110" s="8" t="str">
        <f t="shared" si="86"/>
        <v>0</v>
      </c>
      <c r="X110" s="8" t="str">
        <f t="shared" si="87"/>
        <v>0</v>
      </c>
      <c r="Y110" s="8" t="str">
        <f t="shared" si="88"/>
        <v>0</v>
      </c>
      <c r="Z110" s="8" t="str">
        <f t="shared" si="89"/>
        <v>0</v>
      </c>
      <c r="AA110" s="8" t="str">
        <f t="shared" si="90"/>
        <v>1</v>
      </c>
      <c r="AB110" s="8" t="str">
        <f t="shared" si="91"/>
        <v>1</v>
      </c>
      <c r="AC110" s="8" t="str">
        <f t="shared" si="92"/>
        <v>0</v>
      </c>
      <c r="AD110" s="8" t="str">
        <f t="shared" si="93"/>
        <v>0</v>
      </c>
      <c r="AE110" s="8" t="str">
        <f t="shared" si="94"/>
        <v>0</v>
      </c>
      <c r="AF110" s="8" t="str">
        <f t="shared" si="95"/>
        <v>0</v>
      </c>
      <c r="AG110" s="8" t="str">
        <f t="shared" si="96"/>
        <v>1</v>
      </c>
      <c r="AH110" s="8" t="str">
        <f t="shared" si="97"/>
        <v>1</v>
      </c>
    </row>
    <row r="111">
      <c r="A111" s="8" t="s">
        <v>43</v>
      </c>
      <c r="B111" s="8">
        <v>4.0</v>
      </c>
      <c r="C111" s="8">
        <v>1.0</v>
      </c>
      <c r="D111" s="58" t="str">
        <f t="shared" si="70"/>
        <v>0</v>
      </c>
      <c r="E111" s="8" t="str">
        <f t="shared" si="71"/>
        <v>0</v>
      </c>
      <c r="F111" s="8" t="str">
        <f t="shared" si="72"/>
        <v>0</v>
      </c>
      <c r="G111" s="8" t="str">
        <f t="shared" si="73"/>
        <v>0</v>
      </c>
      <c r="H111" s="8" t="str">
        <f t="shared" si="74"/>
        <v>0</v>
      </c>
      <c r="I111" s="8" t="str">
        <f t="shared" si="75"/>
        <v>1</v>
      </c>
      <c r="J111" s="8" t="str">
        <f t="shared" si="76"/>
        <v>0</v>
      </c>
      <c r="K111" s="8" t="str">
        <f t="shared" ref="K111:L111" si="116">IF(K97="C","1","0")</f>
        <v>0</v>
      </c>
      <c r="L111" s="8" t="str">
        <f t="shared" si="116"/>
        <v>0</v>
      </c>
      <c r="M111" s="58" t="str">
        <f t="shared" si="78"/>
        <v>1</v>
      </c>
      <c r="N111" s="8" t="str">
        <f t="shared" si="79"/>
        <v>0</v>
      </c>
      <c r="O111" s="8" t="str">
        <f t="shared" si="80"/>
        <v>0</v>
      </c>
      <c r="P111" s="8" t="str">
        <f t="shared" ref="P111:Q111" si="117">IF(P97="A","1","0")</f>
        <v>0</v>
      </c>
      <c r="Q111" s="8" t="str">
        <f t="shared" si="117"/>
        <v>0</v>
      </c>
      <c r="R111" s="8" t="str">
        <f t="shared" si="82"/>
        <v>0</v>
      </c>
      <c r="S111" s="8">
        <v>1.0</v>
      </c>
      <c r="T111" s="8" t="str">
        <f t="shared" si="83"/>
        <v>1</v>
      </c>
      <c r="U111" s="8" t="str">
        <f t="shared" si="84"/>
        <v>0</v>
      </c>
      <c r="V111" s="8" t="str">
        <f t="shared" si="85"/>
        <v>1</v>
      </c>
      <c r="W111" s="8" t="str">
        <f t="shared" si="86"/>
        <v>0</v>
      </c>
      <c r="X111" s="8" t="str">
        <f t="shared" si="87"/>
        <v>0</v>
      </c>
      <c r="Y111" s="8" t="str">
        <f t="shared" si="88"/>
        <v>0</v>
      </c>
      <c r="Z111" s="8" t="str">
        <f t="shared" si="89"/>
        <v>1</v>
      </c>
      <c r="AA111" s="8" t="str">
        <f t="shared" si="90"/>
        <v>0</v>
      </c>
      <c r="AB111" s="8" t="str">
        <f t="shared" si="91"/>
        <v>1</v>
      </c>
      <c r="AC111" s="8" t="str">
        <f t="shared" si="92"/>
        <v>0</v>
      </c>
      <c r="AD111" s="8" t="str">
        <f t="shared" si="93"/>
        <v>1</v>
      </c>
      <c r="AE111" s="8" t="str">
        <f t="shared" si="94"/>
        <v>0</v>
      </c>
      <c r="AF111" s="8" t="str">
        <f t="shared" si="95"/>
        <v>1</v>
      </c>
      <c r="AG111" s="8" t="str">
        <f t="shared" si="96"/>
        <v>0</v>
      </c>
      <c r="AH111" s="8" t="str">
        <f t="shared" si="97"/>
        <v>0</v>
      </c>
    </row>
    <row r="112">
      <c r="A112" s="8" t="s">
        <v>80</v>
      </c>
      <c r="B112" s="8">
        <v>4.0</v>
      </c>
      <c r="C112" s="8"/>
      <c r="D112" s="58" t="str">
        <f t="shared" si="70"/>
        <v>1</v>
      </c>
      <c r="E112" s="8" t="str">
        <f t="shared" si="71"/>
        <v>1</v>
      </c>
      <c r="F112" s="8" t="str">
        <f t="shared" si="72"/>
        <v>1</v>
      </c>
      <c r="G112" s="8" t="str">
        <f t="shared" si="73"/>
        <v>1</v>
      </c>
      <c r="H112" s="8" t="str">
        <f t="shared" si="74"/>
        <v>1</v>
      </c>
      <c r="I112" s="8" t="str">
        <f t="shared" si="75"/>
        <v>1</v>
      </c>
      <c r="J112" s="8" t="str">
        <f t="shared" si="76"/>
        <v>1</v>
      </c>
      <c r="K112" s="8" t="str">
        <f t="shared" ref="K112:L112" si="118">IF(K98="C","1","0")</f>
        <v>1</v>
      </c>
      <c r="L112" s="8" t="str">
        <f t="shared" si="118"/>
        <v>1</v>
      </c>
      <c r="M112" s="58" t="str">
        <f t="shared" si="78"/>
        <v>1</v>
      </c>
      <c r="N112" s="8" t="str">
        <f t="shared" si="79"/>
        <v>1</v>
      </c>
      <c r="O112" s="8" t="str">
        <f t="shared" si="80"/>
        <v>1</v>
      </c>
      <c r="P112" s="8" t="str">
        <f t="shared" ref="P112:Q112" si="119">IF(P98="A","1","0")</f>
        <v>1</v>
      </c>
      <c r="Q112" s="8" t="str">
        <f t="shared" si="119"/>
        <v>1</v>
      </c>
      <c r="R112" s="8" t="str">
        <f t="shared" si="82"/>
        <v>1</v>
      </c>
      <c r="S112" s="8"/>
      <c r="T112" s="8" t="str">
        <f t="shared" si="83"/>
        <v>1</v>
      </c>
      <c r="U112" s="8" t="str">
        <f t="shared" si="84"/>
        <v>1</v>
      </c>
      <c r="V112" s="8" t="str">
        <f t="shared" si="85"/>
        <v>1</v>
      </c>
      <c r="W112" s="8" t="str">
        <f t="shared" si="86"/>
        <v>0</v>
      </c>
      <c r="X112" s="8" t="str">
        <f t="shared" si="87"/>
        <v>1</v>
      </c>
      <c r="Y112" s="8" t="str">
        <f t="shared" si="88"/>
        <v>1</v>
      </c>
      <c r="Z112" s="8" t="str">
        <f t="shared" si="89"/>
        <v>1</v>
      </c>
      <c r="AA112" s="8" t="str">
        <f t="shared" si="90"/>
        <v>1</v>
      </c>
      <c r="AB112" s="8" t="str">
        <f t="shared" si="91"/>
        <v>1</v>
      </c>
      <c r="AC112" s="8" t="str">
        <f t="shared" si="92"/>
        <v>1</v>
      </c>
      <c r="AD112" s="8" t="str">
        <f t="shared" si="93"/>
        <v>1</v>
      </c>
      <c r="AE112" s="8" t="str">
        <f t="shared" si="94"/>
        <v>1</v>
      </c>
      <c r="AF112" s="8" t="str">
        <f t="shared" si="95"/>
        <v>1</v>
      </c>
      <c r="AG112" s="8" t="str">
        <f t="shared" si="96"/>
        <v>1</v>
      </c>
      <c r="AH112" s="8" t="str">
        <f t="shared" si="97"/>
        <v>1</v>
      </c>
    </row>
    <row r="113">
      <c r="A113" s="8" t="s">
        <v>81</v>
      </c>
      <c r="B113" s="8">
        <v>4.0</v>
      </c>
      <c r="C113" s="8"/>
      <c r="D113" s="8">
        <v>22.0</v>
      </c>
      <c r="E113" s="8">
        <v>24.0</v>
      </c>
      <c r="F113" s="8">
        <v>23.0</v>
      </c>
      <c r="G113" s="8">
        <v>30.0</v>
      </c>
      <c r="H113" s="8">
        <v>16.0</v>
      </c>
      <c r="I113" s="8">
        <v>29.0</v>
      </c>
      <c r="J113" s="8">
        <v>11.0</v>
      </c>
      <c r="K113" s="8">
        <v>18.0</v>
      </c>
      <c r="L113" s="8">
        <v>13.0</v>
      </c>
      <c r="M113" s="8">
        <v>10.0</v>
      </c>
      <c r="N113" s="8">
        <v>7.0</v>
      </c>
      <c r="O113" s="8">
        <v>28.0</v>
      </c>
      <c r="P113" s="8">
        <v>21.0</v>
      </c>
      <c r="Q113" s="8">
        <v>1.0</v>
      </c>
      <c r="R113" s="8">
        <v>9.0</v>
      </c>
      <c r="S113" s="8"/>
      <c r="T113" s="8">
        <v>15.0</v>
      </c>
      <c r="U113" s="8">
        <v>3.0</v>
      </c>
      <c r="V113" s="8">
        <v>14.0</v>
      </c>
      <c r="W113" s="8">
        <v>27.0</v>
      </c>
      <c r="X113" s="8">
        <v>2.0</v>
      </c>
      <c r="Y113" s="8">
        <v>4.0</v>
      </c>
      <c r="Z113" s="8">
        <v>5.0</v>
      </c>
      <c r="AA113" s="8">
        <v>17.0</v>
      </c>
      <c r="AB113" s="8">
        <v>26.0</v>
      </c>
      <c r="AC113" s="8">
        <v>20.0</v>
      </c>
      <c r="AD113" s="8">
        <v>8.0</v>
      </c>
      <c r="AE113" s="8">
        <v>19.0</v>
      </c>
      <c r="AF113" s="8">
        <v>6.0</v>
      </c>
      <c r="AG113" s="8">
        <v>12.0</v>
      </c>
      <c r="AH113" s="8">
        <v>25.0</v>
      </c>
    </row>
    <row r="114" hidden="1">
      <c r="A114" s="51" t="s">
        <v>82</v>
      </c>
      <c r="B114" s="45">
        <v>5.0</v>
      </c>
      <c r="C114" s="45">
        <v>2.0</v>
      </c>
      <c r="D114" s="51" t="s">
        <v>76</v>
      </c>
      <c r="E114" s="51" t="s">
        <v>76</v>
      </c>
      <c r="F114" s="51" t="s">
        <v>77</v>
      </c>
      <c r="G114" s="51" t="s">
        <v>79</v>
      </c>
      <c r="H114" s="51" t="s">
        <v>78</v>
      </c>
      <c r="I114" s="51" t="s">
        <v>79</v>
      </c>
      <c r="J114" s="51" t="s">
        <v>77</v>
      </c>
      <c r="K114" s="51" t="s">
        <v>78</v>
      </c>
      <c r="L114" s="51" t="s">
        <v>75</v>
      </c>
      <c r="M114" s="51" t="s">
        <v>77</v>
      </c>
      <c r="N114" s="51" t="s">
        <v>76</v>
      </c>
      <c r="O114" s="51" t="s">
        <v>75</v>
      </c>
      <c r="P114" s="51" t="s">
        <v>78</v>
      </c>
      <c r="Q114" s="51" t="s">
        <v>79</v>
      </c>
      <c r="R114" s="51" t="s">
        <v>76</v>
      </c>
      <c r="S114" s="45">
        <v>2.0</v>
      </c>
      <c r="T114" s="51" t="s">
        <v>77</v>
      </c>
      <c r="U114" s="51" t="s">
        <v>79</v>
      </c>
      <c r="V114" s="51" t="s">
        <v>75</v>
      </c>
      <c r="W114" s="51" t="s">
        <v>75</v>
      </c>
      <c r="X114" s="51" t="s">
        <v>79</v>
      </c>
      <c r="Y114" s="51" t="s">
        <v>78</v>
      </c>
      <c r="Z114" s="51" t="s">
        <v>77</v>
      </c>
      <c r="AA114" s="51" t="s">
        <v>78</v>
      </c>
      <c r="AB114" s="51" t="s">
        <v>78</v>
      </c>
      <c r="AC114" s="51" t="s">
        <v>75</v>
      </c>
      <c r="AD114" s="51" t="s">
        <v>77</v>
      </c>
      <c r="AE114" s="51" t="s">
        <v>79</v>
      </c>
      <c r="AF114" s="51" t="s">
        <v>78</v>
      </c>
      <c r="AG114" s="51" t="s">
        <v>75</v>
      </c>
      <c r="AH114" s="51" t="s">
        <v>78</v>
      </c>
    </row>
    <row r="115" hidden="1">
      <c r="A115" s="51" t="s">
        <v>84</v>
      </c>
      <c r="B115" s="45">
        <v>5.0</v>
      </c>
      <c r="C115" s="45">
        <v>2.0</v>
      </c>
      <c r="D115" s="51" t="s">
        <v>75</v>
      </c>
      <c r="E115" s="51" t="s">
        <v>78</v>
      </c>
      <c r="F115" s="51" t="s">
        <v>78</v>
      </c>
      <c r="G115" s="51" t="s">
        <v>75</v>
      </c>
      <c r="H115" s="51" t="s">
        <v>79</v>
      </c>
      <c r="I115" s="51" t="s">
        <v>79</v>
      </c>
      <c r="J115" s="51" t="s">
        <v>77</v>
      </c>
      <c r="K115" s="51" t="s">
        <v>78</v>
      </c>
      <c r="L115" s="51" t="s">
        <v>75</v>
      </c>
      <c r="M115" s="51" t="s">
        <v>79</v>
      </c>
      <c r="N115" s="51" t="s">
        <v>75</v>
      </c>
      <c r="O115" s="51" t="s">
        <v>79</v>
      </c>
      <c r="P115" s="51" t="s">
        <v>78</v>
      </c>
      <c r="Q115" s="51" t="s">
        <v>79</v>
      </c>
      <c r="R115" s="51" t="s">
        <v>76</v>
      </c>
      <c r="S115" s="45">
        <v>2.0</v>
      </c>
      <c r="T115" s="51" t="s">
        <v>79</v>
      </c>
      <c r="U115" s="51" t="s">
        <v>78</v>
      </c>
      <c r="V115" s="51" t="s">
        <v>75</v>
      </c>
      <c r="W115" s="51" t="s">
        <v>75</v>
      </c>
      <c r="X115" s="51" t="s">
        <v>77</v>
      </c>
      <c r="Y115" s="51" t="s">
        <v>79</v>
      </c>
      <c r="Z115" s="51" t="s">
        <v>77</v>
      </c>
      <c r="AA115" s="51" t="s">
        <v>76</v>
      </c>
      <c r="AB115" s="51" t="s">
        <v>77</v>
      </c>
      <c r="AC115" s="51" t="s">
        <v>78</v>
      </c>
      <c r="AD115" s="51" t="s">
        <v>77</v>
      </c>
      <c r="AE115" s="51" t="s">
        <v>78</v>
      </c>
      <c r="AF115" s="51" t="s">
        <v>77</v>
      </c>
      <c r="AG115" s="51" t="s">
        <v>77</v>
      </c>
      <c r="AH115" s="51" t="s">
        <v>77</v>
      </c>
    </row>
    <row r="116" hidden="1">
      <c r="A116" s="51" t="s">
        <v>100</v>
      </c>
      <c r="B116" s="45">
        <v>5.0</v>
      </c>
      <c r="C116" s="45">
        <v>2.0</v>
      </c>
      <c r="D116" s="51" t="s">
        <v>76</v>
      </c>
      <c r="E116" s="51" t="s">
        <v>78</v>
      </c>
      <c r="F116" s="51" t="s">
        <v>77</v>
      </c>
      <c r="G116" s="51" t="s">
        <v>79</v>
      </c>
      <c r="H116" s="51" t="s">
        <v>77</v>
      </c>
      <c r="I116" s="51" t="s">
        <v>78</v>
      </c>
      <c r="J116" s="51" t="s">
        <v>79</v>
      </c>
      <c r="K116" s="51" t="s">
        <v>75</v>
      </c>
      <c r="L116" s="51" t="s">
        <v>75</v>
      </c>
      <c r="M116" s="51" t="s">
        <v>77</v>
      </c>
      <c r="N116" s="51" t="s">
        <v>76</v>
      </c>
      <c r="O116" s="51" t="s">
        <v>78</v>
      </c>
      <c r="P116" s="51" t="s">
        <v>75</v>
      </c>
      <c r="Q116" s="51" t="s">
        <v>75</v>
      </c>
      <c r="R116" s="51" t="s">
        <v>76</v>
      </c>
      <c r="S116" s="45">
        <v>2.0</v>
      </c>
      <c r="T116" s="51" t="s">
        <v>77</v>
      </c>
      <c r="U116" s="51" t="s">
        <v>79</v>
      </c>
      <c r="V116" s="51" t="s">
        <v>75</v>
      </c>
      <c r="W116" s="51" t="s">
        <v>76</v>
      </c>
      <c r="X116" s="51" t="s">
        <v>77</v>
      </c>
      <c r="Y116" s="51" t="s">
        <v>78</v>
      </c>
      <c r="Z116" s="51" t="s">
        <v>79</v>
      </c>
      <c r="AA116" s="51" t="s">
        <v>78</v>
      </c>
      <c r="AB116" s="51" t="s">
        <v>77</v>
      </c>
      <c r="AC116" s="51" t="s">
        <v>75</v>
      </c>
      <c r="AD116" s="51" t="s">
        <v>79</v>
      </c>
      <c r="AE116" s="51" t="s">
        <v>78</v>
      </c>
      <c r="AF116" s="51" t="s">
        <v>76</v>
      </c>
      <c r="AG116" s="51" t="s">
        <v>75</v>
      </c>
      <c r="AH116" s="51" t="s">
        <v>79</v>
      </c>
    </row>
    <row r="117" hidden="1">
      <c r="A117" s="51" t="s">
        <v>35</v>
      </c>
      <c r="B117" s="45">
        <v>5.0</v>
      </c>
      <c r="C117" s="45">
        <v>2.0</v>
      </c>
      <c r="D117" s="51" t="s">
        <v>76</v>
      </c>
      <c r="E117" s="51" t="s">
        <v>75</v>
      </c>
      <c r="F117" s="51" t="s">
        <v>79</v>
      </c>
      <c r="G117" s="51" t="s">
        <v>78</v>
      </c>
      <c r="H117" s="51" t="s">
        <v>79</v>
      </c>
      <c r="I117" s="51" t="s">
        <v>78</v>
      </c>
      <c r="J117" s="51" t="s">
        <v>77</v>
      </c>
      <c r="K117" s="51" t="s">
        <v>79</v>
      </c>
      <c r="L117" s="51" t="s">
        <v>75</v>
      </c>
      <c r="M117" s="51" t="s">
        <v>77</v>
      </c>
      <c r="N117" s="51" t="s">
        <v>76</v>
      </c>
      <c r="O117" s="51" t="s">
        <v>78</v>
      </c>
      <c r="P117" s="51" t="s">
        <v>75</v>
      </c>
      <c r="Q117" s="51" t="s">
        <v>77</v>
      </c>
      <c r="R117" s="51" t="s">
        <v>76</v>
      </c>
      <c r="S117" s="45">
        <v>2.0</v>
      </c>
      <c r="T117" s="51" t="s">
        <v>77</v>
      </c>
      <c r="U117" s="51" t="s">
        <v>79</v>
      </c>
      <c r="V117" s="51" t="s">
        <v>76</v>
      </c>
      <c r="W117" s="51" t="s">
        <v>75</v>
      </c>
      <c r="X117" s="51" t="s">
        <v>77</v>
      </c>
      <c r="Y117" s="51" t="s">
        <v>79</v>
      </c>
      <c r="Z117" s="51" t="s">
        <v>78</v>
      </c>
      <c r="AA117" s="51" t="s">
        <v>76</v>
      </c>
      <c r="AB117" s="51" t="s">
        <v>79</v>
      </c>
      <c r="AC117" s="51" t="s">
        <v>75</v>
      </c>
      <c r="AD117" s="51" t="s">
        <v>79</v>
      </c>
      <c r="AE117" s="51" t="s">
        <v>78</v>
      </c>
      <c r="AF117" s="51" t="s">
        <v>79</v>
      </c>
      <c r="AG117" s="51" t="s">
        <v>78</v>
      </c>
      <c r="AH117" s="51" t="s">
        <v>79</v>
      </c>
    </row>
    <row r="118" hidden="1">
      <c r="A118" s="51" t="s">
        <v>36</v>
      </c>
      <c r="B118" s="45">
        <v>5.0</v>
      </c>
      <c r="C118" s="45">
        <v>2.0</v>
      </c>
      <c r="D118" s="51" t="s">
        <v>75</v>
      </c>
      <c r="E118" s="51" t="s">
        <v>79</v>
      </c>
      <c r="F118" s="51" t="s">
        <v>77</v>
      </c>
      <c r="G118" s="51" t="s">
        <v>76</v>
      </c>
      <c r="H118" s="51" t="s">
        <v>79</v>
      </c>
      <c r="I118" s="51" t="s">
        <v>77</v>
      </c>
      <c r="J118" s="51" t="s">
        <v>79</v>
      </c>
      <c r="K118" s="51" t="s">
        <v>78</v>
      </c>
      <c r="L118" s="51" t="s">
        <v>76</v>
      </c>
      <c r="M118" s="51" t="s">
        <v>79</v>
      </c>
      <c r="N118" s="51" t="s">
        <v>75</v>
      </c>
      <c r="O118" s="51" t="s">
        <v>78</v>
      </c>
      <c r="P118" s="51" t="s">
        <v>78</v>
      </c>
      <c r="Q118" s="51" t="s">
        <v>77</v>
      </c>
      <c r="R118" s="51" t="s">
        <v>76</v>
      </c>
      <c r="S118" s="45">
        <v>2.0</v>
      </c>
      <c r="T118" s="51" t="s">
        <v>77</v>
      </c>
      <c r="U118" s="51" t="s">
        <v>77</v>
      </c>
      <c r="V118" s="51" t="s">
        <v>75</v>
      </c>
      <c r="W118" s="51" t="s">
        <v>75</v>
      </c>
      <c r="X118" s="51" t="s">
        <v>77</v>
      </c>
      <c r="Y118" s="51" t="s">
        <v>79</v>
      </c>
      <c r="Z118" s="51" t="s">
        <v>77</v>
      </c>
      <c r="AA118" s="51" t="s">
        <v>78</v>
      </c>
      <c r="AB118" s="51" t="s">
        <v>79</v>
      </c>
      <c r="AC118" s="51" t="s">
        <v>79</v>
      </c>
      <c r="AD118" s="51" t="s">
        <v>75</v>
      </c>
      <c r="AE118" s="51" t="s">
        <v>78</v>
      </c>
      <c r="AF118" s="51" t="s">
        <v>79</v>
      </c>
      <c r="AG118" s="51" t="s">
        <v>78</v>
      </c>
      <c r="AH118" s="51" t="s">
        <v>75</v>
      </c>
    </row>
    <row r="119" hidden="1">
      <c r="A119" s="51" t="s">
        <v>37</v>
      </c>
      <c r="B119" s="45">
        <v>5.0</v>
      </c>
      <c r="C119" s="45">
        <v>2.0</v>
      </c>
      <c r="D119" s="51" t="s">
        <v>75</v>
      </c>
      <c r="E119" s="51" t="s">
        <v>78</v>
      </c>
      <c r="F119" s="51" t="s">
        <v>79</v>
      </c>
      <c r="G119" s="51" t="s">
        <v>76</v>
      </c>
      <c r="H119" s="51" t="s">
        <v>76</v>
      </c>
      <c r="I119" s="51" t="s">
        <v>75</v>
      </c>
      <c r="J119" s="51" t="s">
        <v>77</v>
      </c>
      <c r="K119" s="51" t="s">
        <v>76</v>
      </c>
      <c r="L119" s="51" t="s">
        <v>75</v>
      </c>
      <c r="M119" s="51" t="s">
        <v>78</v>
      </c>
      <c r="N119" s="51" t="s">
        <v>76</v>
      </c>
      <c r="O119" s="51" t="s">
        <v>75</v>
      </c>
      <c r="P119" s="51" t="s">
        <v>76</v>
      </c>
      <c r="Q119" s="51" t="s">
        <v>76</v>
      </c>
      <c r="R119" s="51" t="s">
        <v>76</v>
      </c>
      <c r="S119" s="45">
        <v>2.0</v>
      </c>
      <c r="T119" s="51" t="s">
        <v>77</v>
      </c>
      <c r="U119" s="51" t="s">
        <v>78</v>
      </c>
      <c r="V119" s="51" t="s">
        <v>76</v>
      </c>
      <c r="W119" s="51" t="s">
        <v>78</v>
      </c>
      <c r="X119" s="51" t="s">
        <v>75</v>
      </c>
      <c r="Y119" s="51" t="s">
        <v>75</v>
      </c>
      <c r="Z119" s="51" t="s">
        <v>78</v>
      </c>
      <c r="AA119" s="51" t="s">
        <v>76</v>
      </c>
      <c r="AB119" s="51" t="s">
        <v>78</v>
      </c>
      <c r="AC119" s="51" t="s">
        <v>76</v>
      </c>
      <c r="AD119" s="51" t="s">
        <v>77</v>
      </c>
      <c r="AE119" s="51" t="s">
        <v>76</v>
      </c>
      <c r="AF119" s="51" t="s">
        <v>76</v>
      </c>
      <c r="AG119" s="51" t="s">
        <v>75</v>
      </c>
      <c r="AH119" s="51" t="s">
        <v>75</v>
      </c>
    </row>
    <row r="120" hidden="1">
      <c r="A120" s="51" t="s">
        <v>38</v>
      </c>
      <c r="B120" s="45">
        <v>5.0</v>
      </c>
      <c r="C120" s="45">
        <v>1.0</v>
      </c>
      <c r="D120" s="51" t="s">
        <v>75</v>
      </c>
      <c r="E120" s="51" t="s">
        <v>79</v>
      </c>
      <c r="F120" s="51" t="s">
        <v>77</v>
      </c>
      <c r="G120" s="51" t="s">
        <v>77</v>
      </c>
      <c r="H120" s="51" t="s">
        <v>77</v>
      </c>
      <c r="I120" s="51" t="s">
        <v>77</v>
      </c>
      <c r="J120" s="51" t="s">
        <v>79</v>
      </c>
      <c r="K120" s="51" t="s">
        <v>76</v>
      </c>
      <c r="L120" s="51" t="s">
        <v>75</v>
      </c>
      <c r="M120" s="51" t="s">
        <v>79</v>
      </c>
      <c r="N120" s="51" t="s">
        <v>76</v>
      </c>
      <c r="O120" s="51" t="s">
        <v>77</v>
      </c>
      <c r="P120" s="51" t="s">
        <v>76</v>
      </c>
      <c r="Q120" s="51" t="s">
        <v>77</v>
      </c>
      <c r="R120" s="51" t="s">
        <v>76</v>
      </c>
      <c r="S120" s="45">
        <v>1.0</v>
      </c>
      <c r="T120" s="51" t="s">
        <v>77</v>
      </c>
      <c r="U120" s="51" t="s">
        <v>79</v>
      </c>
      <c r="V120" s="51" t="s">
        <v>76</v>
      </c>
      <c r="W120" s="51" t="s">
        <v>76</v>
      </c>
      <c r="X120" s="51" t="s">
        <v>76</v>
      </c>
      <c r="Y120" s="51" t="s">
        <v>79</v>
      </c>
      <c r="Z120" s="51" t="s">
        <v>77</v>
      </c>
      <c r="AA120" s="51" t="s">
        <v>75</v>
      </c>
      <c r="AB120" s="51" t="s">
        <v>77</v>
      </c>
      <c r="AC120" s="51" t="s">
        <v>76</v>
      </c>
      <c r="AD120" s="51" t="s">
        <v>77</v>
      </c>
      <c r="AE120" s="51" t="s">
        <v>76</v>
      </c>
      <c r="AF120" s="51" t="s">
        <v>75</v>
      </c>
      <c r="AG120" s="51" t="s">
        <v>77</v>
      </c>
      <c r="AH120" s="51" t="s">
        <v>77</v>
      </c>
    </row>
    <row r="121" hidden="1">
      <c r="A121" s="51" t="s">
        <v>39</v>
      </c>
      <c r="B121" s="45">
        <v>5.0</v>
      </c>
      <c r="C121" s="45">
        <v>1.0</v>
      </c>
      <c r="D121" s="51" t="s">
        <v>75</v>
      </c>
      <c r="E121" s="51" t="s">
        <v>78</v>
      </c>
      <c r="F121" s="51" t="s">
        <v>77</v>
      </c>
      <c r="G121" s="51" t="s">
        <v>78</v>
      </c>
      <c r="H121" s="51" t="s">
        <v>79</v>
      </c>
      <c r="I121" s="51" t="s">
        <v>79</v>
      </c>
      <c r="J121" s="51" t="s">
        <v>78</v>
      </c>
      <c r="K121" s="51" t="s">
        <v>75</v>
      </c>
      <c r="L121" s="51" t="s">
        <v>78</v>
      </c>
      <c r="M121" s="51" t="s">
        <v>75</v>
      </c>
      <c r="N121" s="51" t="s">
        <v>76</v>
      </c>
      <c r="O121" s="51" t="s">
        <v>76</v>
      </c>
      <c r="P121" s="51" t="s">
        <v>76</v>
      </c>
      <c r="Q121" s="51" t="s">
        <v>79</v>
      </c>
      <c r="R121" s="51" t="s">
        <v>76</v>
      </c>
      <c r="S121" s="45">
        <v>1.0</v>
      </c>
      <c r="T121" s="51" t="s">
        <v>79</v>
      </c>
      <c r="U121" s="51" t="s">
        <v>78</v>
      </c>
      <c r="V121" s="51" t="s">
        <v>75</v>
      </c>
      <c r="W121" s="51" t="s">
        <v>75</v>
      </c>
      <c r="X121" s="51" t="s">
        <v>79</v>
      </c>
      <c r="Y121" s="51" t="s">
        <v>78</v>
      </c>
      <c r="Z121" s="51" t="s">
        <v>75</v>
      </c>
      <c r="AA121" s="51" t="s">
        <v>78</v>
      </c>
      <c r="AB121" s="51" t="s">
        <v>79</v>
      </c>
      <c r="AC121" s="51" t="s">
        <v>78</v>
      </c>
      <c r="AD121" s="51" t="s">
        <v>78</v>
      </c>
      <c r="AE121" s="51" t="s">
        <v>75</v>
      </c>
      <c r="AF121" s="51" t="s">
        <v>79</v>
      </c>
      <c r="AG121" s="51" t="s">
        <v>75</v>
      </c>
      <c r="AH121" s="51" t="s">
        <v>78</v>
      </c>
    </row>
    <row r="122" hidden="1">
      <c r="A122" s="51" t="s">
        <v>40</v>
      </c>
      <c r="B122" s="45">
        <v>5.0</v>
      </c>
      <c r="C122" s="45">
        <v>1.0</v>
      </c>
      <c r="D122" s="51" t="s">
        <v>79</v>
      </c>
      <c r="E122" s="51" t="s">
        <v>79</v>
      </c>
      <c r="F122" s="51" t="s">
        <v>77</v>
      </c>
      <c r="G122" s="51" t="s">
        <v>79</v>
      </c>
      <c r="H122" s="51" t="s">
        <v>79</v>
      </c>
      <c r="I122" s="51" t="s">
        <v>78</v>
      </c>
      <c r="J122" s="51" t="s">
        <v>77</v>
      </c>
      <c r="K122" s="51" t="s">
        <v>78</v>
      </c>
      <c r="L122" s="51" t="s">
        <v>79</v>
      </c>
      <c r="M122" s="51" t="s">
        <v>79</v>
      </c>
      <c r="N122" s="51" t="s">
        <v>78</v>
      </c>
      <c r="O122" s="51" t="s">
        <v>79</v>
      </c>
      <c r="P122" s="51" t="s">
        <v>79</v>
      </c>
      <c r="Q122" s="51" t="s">
        <v>77</v>
      </c>
      <c r="R122" s="51" t="s">
        <v>78</v>
      </c>
      <c r="S122" s="45">
        <v>1.0</v>
      </c>
      <c r="T122" s="51" t="s">
        <v>77</v>
      </c>
      <c r="U122" s="51" t="s">
        <v>77</v>
      </c>
      <c r="V122" s="51" t="s">
        <v>78</v>
      </c>
      <c r="W122" s="51" t="s">
        <v>78</v>
      </c>
      <c r="X122" s="51" t="s">
        <v>77</v>
      </c>
      <c r="Y122" s="51" t="s">
        <v>77</v>
      </c>
      <c r="Z122" s="51" t="s">
        <v>77</v>
      </c>
      <c r="AA122" s="51" t="s">
        <v>79</v>
      </c>
      <c r="AB122" s="51" t="s">
        <v>79</v>
      </c>
      <c r="AC122" s="51" t="s">
        <v>78</v>
      </c>
      <c r="AD122" s="51" t="s">
        <v>79</v>
      </c>
      <c r="AE122" s="51" t="s">
        <v>78</v>
      </c>
      <c r="AF122" s="51" t="s">
        <v>77</v>
      </c>
      <c r="AG122" s="51" t="s">
        <v>77</v>
      </c>
      <c r="AH122" s="51" t="s">
        <v>79</v>
      </c>
    </row>
    <row r="123" hidden="1">
      <c r="A123" s="51" t="s">
        <v>41</v>
      </c>
      <c r="B123" s="45">
        <v>5.0</v>
      </c>
      <c r="C123" s="45">
        <v>1.0</v>
      </c>
      <c r="D123" s="51" t="s">
        <v>75</v>
      </c>
      <c r="E123" s="51" t="s">
        <v>78</v>
      </c>
      <c r="F123" s="51" t="s">
        <v>77</v>
      </c>
      <c r="G123" s="51" t="s">
        <v>78</v>
      </c>
      <c r="H123" s="51" t="s">
        <v>77</v>
      </c>
      <c r="I123" s="51" t="s">
        <v>79</v>
      </c>
      <c r="J123" s="51" t="s">
        <v>77</v>
      </c>
      <c r="K123" s="51" t="s">
        <v>79</v>
      </c>
      <c r="L123" s="51" t="s">
        <v>78</v>
      </c>
      <c r="M123" s="51" t="s">
        <v>77</v>
      </c>
      <c r="N123" s="51" t="s">
        <v>76</v>
      </c>
      <c r="O123" s="51" t="s">
        <v>77</v>
      </c>
      <c r="P123" s="51" t="s">
        <v>78</v>
      </c>
      <c r="Q123" s="51" t="s">
        <v>79</v>
      </c>
      <c r="R123" s="51" t="s">
        <v>76</v>
      </c>
      <c r="S123" s="45">
        <v>1.0</v>
      </c>
      <c r="T123" s="51" t="s">
        <v>77</v>
      </c>
      <c r="U123" s="51" t="s">
        <v>79</v>
      </c>
      <c r="V123" s="51" t="s">
        <v>76</v>
      </c>
      <c r="W123" s="51" t="s">
        <v>75</v>
      </c>
      <c r="X123" s="51" t="s">
        <v>79</v>
      </c>
      <c r="Y123" s="51" t="s">
        <v>79</v>
      </c>
      <c r="Z123" s="51" t="s">
        <v>77</v>
      </c>
      <c r="AA123" s="51" t="s">
        <v>78</v>
      </c>
      <c r="AB123" s="51" t="s">
        <v>77</v>
      </c>
      <c r="AC123" s="51" t="s">
        <v>78</v>
      </c>
      <c r="AD123" s="51" t="s">
        <v>77</v>
      </c>
      <c r="AE123" s="51" t="s">
        <v>79</v>
      </c>
      <c r="AF123" s="51" t="s">
        <v>77</v>
      </c>
      <c r="AG123" s="51" t="s">
        <v>78</v>
      </c>
      <c r="AH123" s="51" t="s">
        <v>77</v>
      </c>
    </row>
    <row r="124" hidden="1">
      <c r="A124" s="51" t="s">
        <v>42</v>
      </c>
      <c r="B124" s="45">
        <v>5.0</v>
      </c>
      <c r="C124" s="45">
        <v>1.0</v>
      </c>
      <c r="D124" s="51" t="s">
        <v>76</v>
      </c>
      <c r="E124" s="51" t="s">
        <v>75</v>
      </c>
      <c r="F124" s="51" t="s">
        <v>77</v>
      </c>
      <c r="G124" s="51" t="s">
        <v>78</v>
      </c>
      <c r="H124" s="51" t="s">
        <v>77</v>
      </c>
      <c r="I124" s="51" t="s">
        <v>77</v>
      </c>
      <c r="J124" s="51" t="s">
        <v>79</v>
      </c>
      <c r="K124" s="51" t="s">
        <v>75</v>
      </c>
      <c r="L124" s="51" t="s">
        <v>76</v>
      </c>
      <c r="M124" s="51" t="s">
        <v>77</v>
      </c>
      <c r="N124" s="51" t="s">
        <v>79</v>
      </c>
      <c r="O124" s="51" t="s">
        <v>77</v>
      </c>
      <c r="P124" s="51" t="s">
        <v>75</v>
      </c>
      <c r="Q124" s="51" t="s">
        <v>78</v>
      </c>
      <c r="R124" s="51" t="s">
        <v>76</v>
      </c>
      <c r="S124" s="45">
        <v>1.0</v>
      </c>
      <c r="T124" s="51" t="s">
        <v>78</v>
      </c>
      <c r="U124" s="51" t="s">
        <v>77</v>
      </c>
      <c r="V124" s="51" t="s">
        <v>76</v>
      </c>
      <c r="W124" s="51" t="s">
        <v>76</v>
      </c>
      <c r="X124" s="51" t="s">
        <v>75</v>
      </c>
      <c r="Y124" s="51" t="s">
        <v>77</v>
      </c>
      <c r="Z124" s="51" t="s">
        <v>77</v>
      </c>
      <c r="AA124" s="51" t="s">
        <v>79</v>
      </c>
      <c r="AB124" s="51" t="s">
        <v>78</v>
      </c>
      <c r="AC124" s="51" t="s">
        <v>75</v>
      </c>
      <c r="AD124" s="51" t="s">
        <v>77</v>
      </c>
      <c r="AE124" s="51" t="s">
        <v>75</v>
      </c>
      <c r="AF124" s="51" t="s">
        <v>77</v>
      </c>
      <c r="AG124" s="51" t="s">
        <v>79</v>
      </c>
      <c r="AH124" s="51" t="s">
        <v>79</v>
      </c>
    </row>
    <row r="125" hidden="1">
      <c r="A125" s="51" t="s">
        <v>43</v>
      </c>
      <c r="B125" s="45">
        <v>5.0</v>
      </c>
      <c r="C125" s="45">
        <v>1.0</v>
      </c>
      <c r="D125" s="51" t="s">
        <v>75</v>
      </c>
      <c r="E125" s="51" t="s">
        <v>78</v>
      </c>
      <c r="F125" s="51" t="s">
        <v>77</v>
      </c>
      <c r="G125" s="51" t="s">
        <v>78</v>
      </c>
      <c r="H125" s="51" t="s">
        <v>77</v>
      </c>
      <c r="I125" s="51" t="s">
        <v>77</v>
      </c>
      <c r="J125" s="51" t="s">
        <v>77</v>
      </c>
      <c r="K125" s="51" t="s">
        <v>78</v>
      </c>
      <c r="L125" s="51" t="s">
        <v>75</v>
      </c>
      <c r="M125" s="51" t="s">
        <v>77</v>
      </c>
      <c r="N125" s="51" t="s">
        <v>76</v>
      </c>
      <c r="O125" s="51" t="s">
        <v>77</v>
      </c>
      <c r="P125" s="51" t="s">
        <v>76</v>
      </c>
      <c r="Q125" s="51" t="s">
        <v>78</v>
      </c>
      <c r="R125" s="51" t="s">
        <v>76</v>
      </c>
      <c r="S125" s="45">
        <v>1.0</v>
      </c>
      <c r="T125" s="51" t="s">
        <v>77</v>
      </c>
      <c r="U125" s="51" t="s">
        <v>79</v>
      </c>
      <c r="V125" s="51" t="s">
        <v>75</v>
      </c>
      <c r="W125" s="51" t="s">
        <v>78</v>
      </c>
      <c r="X125" s="51" t="s">
        <v>77</v>
      </c>
      <c r="Y125" s="51" t="s">
        <v>78</v>
      </c>
      <c r="Z125" s="51" t="s">
        <v>77</v>
      </c>
      <c r="AA125" s="51" t="s">
        <v>75</v>
      </c>
      <c r="AB125" s="51" t="s">
        <v>77</v>
      </c>
      <c r="AC125" s="51" t="s">
        <v>75</v>
      </c>
      <c r="AD125" s="51" t="s">
        <v>78</v>
      </c>
      <c r="AE125" s="51" t="s">
        <v>78</v>
      </c>
      <c r="AF125" s="51" t="s">
        <v>79</v>
      </c>
      <c r="AG125" s="51" t="s">
        <v>75</v>
      </c>
      <c r="AH125" s="51" t="s">
        <v>77</v>
      </c>
    </row>
    <row r="126" hidden="1">
      <c r="A126" s="60" t="s">
        <v>80</v>
      </c>
      <c r="B126" s="61">
        <v>5.0</v>
      </c>
      <c r="C126" s="8"/>
      <c r="D126" s="53" t="s">
        <v>76</v>
      </c>
      <c r="E126" s="53" t="s">
        <v>75</v>
      </c>
      <c r="F126" s="53" t="s">
        <v>79</v>
      </c>
      <c r="G126" s="53" t="s">
        <v>78</v>
      </c>
      <c r="H126" s="53" t="s">
        <v>77</v>
      </c>
      <c r="I126" s="53" t="s">
        <v>76</v>
      </c>
      <c r="J126" s="53" t="s">
        <v>77</v>
      </c>
      <c r="K126" s="53" t="s">
        <v>78</v>
      </c>
      <c r="L126" s="53" t="s">
        <v>78</v>
      </c>
      <c r="M126" s="53" t="s">
        <v>77</v>
      </c>
      <c r="N126" s="53" t="s">
        <v>76</v>
      </c>
      <c r="O126" s="53" t="s">
        <v>79</v>
      </c>
      <c r="P126" s="53" t="s">
        <v>76</v>
      </c>
      <c r="Q126" s="53" t="s">
        <v>78</v>
      </c>
      <c r="R126" s="53" t="s">
        <v>75</v>
      </c>
      <c r="S126" s="8"/>
      <c r="T126" s="53" t="s">
        <v>79</v>
      </c>
      <c r="U126" s="53" t="s">
        <v>75</v>
      </c>
      <c r="V126" s="53" t="s">
        <v>76</v>
      </c>
      <c r="W126" s="53" t="s">
        <v>75</v>
      </c>
      <c r="X126" s="53" t="s">
        <v>75</v>
      </c>
      <c r="Y126" s="53" t="s">
        <v>79</v>
      </c>
      <c r="Z126" s="53" t="s">
        <v>77</v>
      </c>
      <c r="AA126" s="53" t="s">
        <v>76</v>
      </c>
      <c r="AB126" s="53" t="s">
        <v>77</v>
      </c>
      <c r="AC126" s="53" t="s">
        <v>78</v>
      </c>
      <c r="AD126" s="53" t="s">
        <v>79</v>
      </c>
      <c r="AE126" s="53" t="s">
        <v>75</v>
      </c>
      <c r="AF126" s="53" t="s">
        <v>78</v>
      </c>
      <c r="AG126" s="53" t="s">
        <v>79</v>
      </c>
      <c r="AH126" s="53" t="s">
        <v>77</v>
      </c>
    </row>
    <row r="127" hidden="1">
      <c r="A127" s="60" t="s">
        <v>81</v>
      </c>
      <c r="B127" s="61">
        <v>5.0</v>
      </c>
      <c r="C127" s="8"/>
      <c r="D127" s="62">
        <v>10.0</v>
      </c>
      <c r="E127" s="62">
        <v>9.0</v>
      </c>
      <c r="F127" s="62">
        <v>17.0</v>
      </c>
      <c r="G127" s="62">
        <v>8.0</v>
      </c>
      <c r="H127" s="62">
        <v>1.0</v>
      </c>
      <c r="I127" s="62">
        <v>20.0</v>
      </c>
      <c r="J127" s="62">
        <v>6.0</v>
      </c>
      <c r="K127" s="62">
        <v>28.0</v>
      </c>
      <c r="L127" s="62">
        <v>3.0</v>
      </c>
      <c r="M127" s="62">
        <v>16.0</v>
      </c>
      <c r="N127" s="62">
        <v>5.0</v>
      </c>
      <c r="O127" s="62">
        <v>12.0</v>
      </c>
      <c r="P127" s="62">
        <v>30.0</v>
      </c>
      <c r="Q127" s="62">
        <v>18.0</v>
      </c>
      <c r="R127" s="62">
        <v>4.0</v>
      </c>
      <c r="S127" s="8"/>
      <c r="T127" s="62">
        <v>22.0</v>
      </c>
      <c r="U127" s="62">
        <v>24.0</v>
      </c>
      <c r="V127" s="62">
        <v>15.0</v>
      </c>
      <c r="W127" s="62">
        <v>14.0</v>
      </c>
      <c r="X127" s="62">
        <v>19.0</v>
      </c>
      <c r="Y127" s="62">
        <v>2.0</v>
      </c>
      <c r="Z127" s="62">
        <v>21.0</v>
      </c>
      <c r="AA127" s="62">
        <v>25.0</v>
      </c>
      <c r="AB127" s="62">
        <v>11.0</v>
      </c>
      <c r="AC127" s="62">
        <v>13.0</v>
      </c>
      <c r="AD127" s="62">
        <v>27.0</v>
      </c>
      <c r="AE127" s="62">
        <v>29.0</v>
      </c>
      <c r="AF127" s="62">
        <v>23.0</v>
      </c>
      <c r="AG127" s="62">
        <v>7.0</v>
      </c>
      <c r="AH127" s="62">
        <v>26.0</v>
      </c>
    </row>
    <row r="128">
      <c r="A128" s="63" t="s">
        <v>82</v>
      </c>
      <c r="B128" s="64">
        <v>5.0</v>
      </c>
      <c r="C128" s="64">
        <v>2.0</v>
      </c>
      <c r="D128" s="63" t="str">
        <f t="shared" ref="D128:D140" si="122">IF(D114="E","1","0")</f>
        <v>1</v>
      </c>
      <c r="E128" s="65" t="str">
        <f t="shared" ref="E128:E140" si="123">IF(E114="D","1","0")</f>
        <v>0</v>
      </c>
      <c r="F128" s="63" t="str">
        <f t="shared" ref="F128:F140" si="124">IF(F114="B","1","0")</f>
        <v>0</v>
      </c>
      <c r="G128" s="63" t="str">
        <f t="shared" ref="G128:G140" si="125">IF(G114="C","1","0")</f>
        <v>0</v>
      </c>
      <c r="H128" s="63" t="str">
        <f t="shared" ref="H128:H140" si="126">IF(H114="A","1","0")</f>
        <v>0</v>
      </c>
      <c r="I128" s="63" t="str">
        <f t="shared" ref="I128:I140" si="127">IF(I114="E","1","0")</f>
        <v>0</v>
      </c>
      <c r="J128" s="66" t="str">
        <f t="shared" ref="J128:J140" si="128">IF(J114="A","1","0")</f>
        <v>1</v>
      </c>
      <c r="K128" s="63" t="str">
        <f t="shared" ref="K128:L128" si="120">IF(K114="C","1","0")</f>
        <v>1</v>
      </c>
      <c r="L128" s="63" t="str">
        <f t="shared" si="120"/>
        <v>0</v>
      </c>
      <c r="M128" s="66" t="str">
        <f t="shared" ref="M128:M140" si="130">IF(M114="A","1","0")</f>
        <v>1</v>
      </c>
      <c r="N128" s="63" t="str">
        <f t="shared" ref="N128:N140" si="131">IF(N114="E","1","0")</f>
        <v>1</v>
      </c>
      <c r="O128" s="63" t="str">
        <f t="shared" ref="O128:O140" si="132">IF(O114="B","1","0")</f>
        <v>0</v>
      </c>
      <c r="P128" s="63" t="str">
        <f t="shared" ref="P128:P140" si="133">IF(P114="E","1","0")</f>
        <v>0</v>
      </c>
      <c r="Q128" s="63" t="str">
        <f t="shared" ref="Q128:Q140" si="134">IF(Q114="C","1","0")</f>
        <v>0</v>
      </c>
      <c r="R128" s="66" t="str">
        <f t="shared" ref="R128:R140" si="135">IF(R114="D","1","0")</f>
        <v>0</v>
      </c>
      <c r="S128" s="64">
        <v>2.0</v>
      </c>
      <c r="T128" s="63" t="str">
        <f t="shared" ref="T128:T140" si="136">IF(T114="B","1","0")</f>
        <v>0</v>
      </c>
      <c r="U128" s="63" t="str">
        <f t="shared" ref="U128:U140" si="137">IF(U114="D","1","0")</f>
        <v>0</v>
      </c>
      <c r="V128" s="63" t="str">
        <f t="shared" ref="V128:V140" si="138">IF(V114="E","1","0")</f>
        <v>0</v>
      </c>
      <c r="W128" s="63" t="str">
        <f t="shared" ref="W128:X128" si="121">IF(W114="D","1","0")</f>
        <v>1</v>
      </c>
      <c r="X128" s="63" t="str">
        <f t="shared" si="121"/>
        <v>0</v>
      </c>
      <c r="Y128" s="63" t="str">
        <f t="shared" ref="Y128:Y140" si="140">IF(Y114="B","1","0")</f>
        <v>0</v>
      </c>
      <c r="Z128" s="63" t="str">
        <f t="shared" ref="Z128:Z140" si="141">IF(Z114="A","1","0")</f>
        <v>1</v>
      </c>
      <c r="AA128" s="63" t="str">
        <f t="shared" ref="AA128:AA140" si="142">IF(AA114="E","1","0")</f>
        <v>0</v>
      </c>
      <c r="AB128" s="63" t="str">
        <f t="shared" ref="AB128:AB140" si="143">IF(AB114="A","1","0")</f>
        <v>0</v>
      </c>
      <c r="AC128" s="63" t="str">
        <f t="shared" ref="AC128:AC140" si="144">IF(AC114="C","1","0")</f>
        <v>0</v>
      </c>
      <c r="AD128" s="63" t="str">
        <f t="shared" ref="AD128:AD140" si="145">IF(AD114="B","1","0")</f>
        <v>0</v>
      </c>
      <c r="AE128" s="66" t="str">
        <f t="shared" ref="AE128:AE140" si="146">IF(AE114="D","1","0")</f>
        <v>0</v>
      </c>
      <c r="AF128" s="63" t="str">
        <f t="shared" ref="AF128:AF140" si="147">IF(AF114="C","1","0")</f>
        <v>1</v>
      </c>
      <c r="AG128" s="63" t="str">
        <f t="shared" ref="AG128:AG140" si="148">IF(AG114="B","1","0")</f>
        <v>0</v>
      </c>
      <c r="AH128" s="63" t="str">
        <f t="shared" ref="AH128:AH140" si="149">IF(AH114="A","1","0")</f>
        <v>0</v>
      </c>
    </row>
    <row r="129">
      <c r="A129" s="63" t="s">
        <v>84</v>
      </c>
      <c r="B129" s="64">
        <v>5.0</v>
      </c>
      <c r="C129" s="64">
        <v>2.0</v>
      </c>
      <c r="D129" s="63" t="str">
        <f t="shared" si="122"/>
        <v>0</v>
      </c>
      <c r="E129" s="65" t="str">
        <f t="shared" si="123"/>
        <v>0</v>
      </c>
      <c r="F129" s="63" t="str">
        <f t="shared" si="124"/>
        <v>0</v>
      </c>
      <c r="G129" s="63" t="str">
        <f t="shared" si="125"/>
        <v>0</v>
      </c>
      <c r="H129" s="63" t="str">
        <f t="shared" si="126"/>
        <v>0</v>
      </c>
      <c r="I129" s="63" t="str">
        <f t="shared" si="127"/>
        <v>0</v>
      </c>
      <c r="J129" s="66" t="str">
        <f t="shared" si="128"/>
        <v>1</v>
      </c>
      <c r="K129" s="63" t="str">
        <f t="shared" ref="K129:L129" si="129">IF(K115="C","1","0")</f>
        <v>1</v>
      </c>
      <c r="L129" s="63" t="str">
        <f t="shared" si="129"/>
        <v>0</v>
      </c>
      <c r="M129" s="66" t="str">
        <f t="shared" si="130"/>
        <v>0</v>
      </c>
      <c r="N129" s="63" t="str">
        <f t="shared" si="131"/>
        <v>0</v>
      </c>
      <c r="O129" s="63" t="str">
        <f t="shared" si="132"/>
        <v>1</v>
      </c>
      <c r="P129" s="63" t="str">
        <f t="shared" si="133"/>
        <v>0</v>
      </c>
      <c r="Q129" s="63" t="str">
        <f t="shared" si="134"/>
        <v>0</v>
      </c>
      <c r="R129" s="66" t="str">
        <f t="shared" si="135"/>
        <v>0</v>
      </c>
      <c r="S129" s="64">
        <v>2.0</v>
      </c>
      <c r="T129" s="63" t="str">
        <f t="shared" si="136"/>
        <v>1</v>
      </c>
      <c r="U129" s="63" t="str">
        <f t="shared" si="137"/>
        <v>0</v>
      </c>
      <c r="V129" s="63" t="str">
        <f t="shared" si="138"/>
        <v>0</v>
      </c>
      <c r="W129" s="63" t="str">
        <f t="shared" ref="W129:X129" si="139">IF(W115="D","1","0")</f>
        <v>1</v>
      </c>
      <c r="X129" s="63" t="str">
        <f t="shared" si="139"/>
        <v>0</v>
      </c>
      <c r="Y129" s="63" t="str">
        <f t="shared" si="140"/>
        <v>1</v>
      </c>
      <c r="Z129" s="63" t="str">
        <f t="shared" si="141"/>
        <v>1</v>
      </c>
      <c r="AA129" s="63" t="str">
        <f t="shared" si="142"/>
        <v>1</v>
      </c>
      <c r="AB129" s="63" t="str">
        <f t="shared" si="143"/>
        <v>1</v>
      </c>
      <c r="AC129" s="63" t="str">
        <f t="shared" si="144"/>
        <v>1</v>
      </c>
      <c r="AD129" s="63" t="str">
        <f t="shared" si="145"/>
        <v>0</v>
      </c>
      <c r="AE129" s="66" t="str">
        <f t="shared" si="146"/>
        <v>0</v>
      </c>
      <c r="AF129" s="63" t="str">
        <f t="shared" si="147"/>
        <v>0</v>
      </c>
      <c r="AG129" s="63" t="str">
        <f t="shared" si="148"/>
        <v>0</v>
      </c>
      <c r="AH129" s="63" t="str">
        <f t="shared" si="149"/>
        <v>1</v>
      </c>
    </row>
    <row r="130">
      <c r="A130" s="63" t="s">
        <v>100</v>
      </c>
      <c r="B130" s="64">
        <v>5.0</v>
      </c>
      <c r="C130" s="64">
        <v>2.0</v>
      </c>
      <c r="D130" s="63" t="str">
        <f t="shared" si="122"/>
        <v>1</v>
      </c>
      <c r="E130" s="65" t="str">
        <f t="shared" si="123"/>
        <v>0</v>
      </c>
      <c r="F130" s="63" t="str">
        <f t="shared" si="124"/>
        <v>0</v>
      </c>
      <c r="G130" s="63" t="str">
        <f t="shared" si="125"/>
        <v>0</v>
      </c>
      <c r="H130" s="63" t="str">
        <f t="shared" si="126"/>
        <v>1</v>
      </c>
      <c r="I130" s="63" t="str">
        <f t="shared" si="127"/>
        <v>0</v>
      </c>
      <c r="J130" s="66" t="str">
        <f t="shared" si="128"/>
        <v>0</v>
      </c>
      <c r="K130" s="63" t="str">
        <f t="shared" ref="K130:L130" si="150">IF(K116="C","1","0")</f>
        <v>0</v>
      </c>
      <c r="L130" s="63" t="str">
        <f t="shared" si="150"/>
        <v>0</v>
      </c>
      <c r="M130" s="66" t="str">
        <f t="shared" si="130"/>
        <v>1</v>
      </c>
      <c r="N130" s="63" t="str">
        <f t="shared" si="131"/>
        <v>1</v>
      </c>
      <c r="O130" s="63" t="str">
        <f t="shared" si="132"/>
        <v>0</v>
      </c>
      <c r="P130" s="63" t="str">
        <f t="shared" si="133"/>
        <v>0</v>
      </c>
      <c r="Q130" s="63" t="str">
        <f t="shared" si="134"/>
        <v>0</v>
      </c>
      <c r="R130" s="66" t="str">
        <f t="shared" si="135"/>
        <v>0</v>
      </c>
      <c r="S130" s="64">
        <v>2.0</v>
      </c>
      <c r="T130" s="63" t="str">
        <f t="shared" si="136"/>
        <v>0</v>
      </c>
      <c r="U130" s="63" t="str">
        <f t="shared" si="137"/>
        <v>0</v>
      </c>
      <c r="V130" s="63" t="str">
        <f t="shared" si="138"/>
        <v>0</v>
      </c>
      <c r="W130" s="63" t="str">
        <f t="shared" ref="W130:X130" si="151">IF(W116="D","1","0")</f>
        <v>0</v>
      </c>
      <c r="X130" s="63" t="str">
        <f t="shared" si="151"/>
        <v>0</v>
      </c>
      <c r="Y130" s="63" t="str">
        <f t="shared" si="140"/>
        <v>0</v>
      </c>
      <c r="Z130" s="63" t="str">
        <f t="shared" si="141"/>
        <v>0</v>
      </c>
      <c r="AA130" s="63" t="str">
        <f t="shared" si="142"/>
        <v>0</v>
      </c>
      <c r="AB130" s="63" t="str">
        <f t="shared" si="143"/>
        <v>1</v>
      </c>
      <c r="AC130" s="63" t="str">
        <f t="shared" si="144"/>
        <v>0</v>
      </c>
      <c r="AD130" s="63" t="str">
        <f t="shared" si="145"/>
        <v>1</v>
      </c>
      <c r="AE130" s="66" t="str">
        <f t="shared" si="146"/>
        <v>0</v>
      </c>
      <c r="AF130" s="63" t="str">
        <f t="shared" si="147"/>
        <v>0</v>
      </c>
      <c r="AG130" s="63" t="str">
        <f t="shared" si="148"/>
        <v>0</v>
      </c>
      <c r="AH130" s="63" t="str">
        <f t="shared" si="149"/>
        <v>0</v>
      </c>
    </row>
    <row r="131">
      <c r="A131" s="63" t="s">
        <v>35</v>
      </c>
      <c r="B131" s="64">
        <v>5.0</v>
      </c>
      <c r="C131" s="64">
        <v>2.0</v>
      </c>
      <c r="D131" s="63" t="str">
        <f t="shared" si="122"/>
        <v>1</v>
      </c>
      <c r="E131" s="65" t="str">
        <f t="shared" si="123"/>
        <v>1</v>
      </c>
      <c r="F131" s="63" t="str">
        <f t="shared" si="124"/>
        <v>1</v>
      </c>
      <c r="G131" s="63" t="str">
        <f t="shared" si="125"/>
        <v>1</v>
      </c>
      <c r="H131" s="63" t="str">
        <f t="shared" si="126"/>
        <v>0</v>
      </c>
      <c r="I131" s="63" t="str">
        <f t="shared" si="127"/>
        <v>0</v>
      </c>
      <c r="J131" s="66" t="str">
        <f t="shared" si="128"/>
        <v>1</v>
      </c>
      <c r="K131" s="63" t="str">
        <f t="shared" ref="K131:L131" si="152">IF(K117="C","1","0")</f>
        <v>0</v>
      </c>
      <c r="L131" s="63" t="str">
        <f t="shared" si="152"/>
        <v>0</v>
      </c>
      <c r="M131" s="66" t="str">
        <f t="shared" si="130"/>
        <v>1</v>
      </c>
      <c r="N131" s="63" t="str">
        <f t="shared" si="131"/>
        <v>1</v>
      </c>
      <c r="O131" s="63" t="str">
        <f t="shared" si="132"/>
        <v>0</v>
      </c>
      <c r="P131" s="63" t="str">
        <f t="shared" si="133"/>
        <v>0</v>
      </c>
      <c r="Q131" s="63" t="str">
        <f t="shared" si="134"/>
        <v>0</v>
      </c>
      <c r="R131" s="66" t="str">
        <f t="shared" si="135"/>
        <v>0</v>
      </c>
      <c r="S131" s="64">
        <v>2.0</v>
      </c>
      <c r="T131" s="63" t="str">
        <f t="shared" si="136"/>
        <v>0</v>
      </c>
      <c r="U131" s="63" t="str">
        <f t="shared" si="137"/>
        <v>0</v>
      </c>
      <c r="V131" s="63" t="str">
        <f t="shared" si="138"/>
        <v>1</v>
      </c>
      <c r="W131" s="63" t="str">
        <f t="shared" ref="W131:X131" si="153">IF(W117="D","1","0")</f>
        <v>1</v>
      </c>
      <c r="X131" s="63" t="str">
        <f t="shared" si="153"/>
        <v>0</v>
      </c>
      <c r="Y131" s="63" t="str">
        <f t="shared" si="140"/>
        <v>1</v>
      </c>
      <c r="Z131" s="63" t="str">
        <f t="shared" si="141"/>
        <v>0</v>
      </c>
      <c r="AA131" s="63" t="str">
        <f t="shared" si="142"/>
        <v>1</v>
      </c>
      <c r="AB131" s="63" t="str">
        <f t="shared" si="143"/>
        <v>0</v>
      </c>
      <c r="AC131" s="63" t="str">
        <f t="shared" si="144"/>
        <v>0</v>
      </c>
      <c r="AD131" s="63" t="str">
        <f t="shared" si="145"/>
        <v>1</v>
      </c>
      <c r="AE131" s="66" t="str">
        <f t="shared" si="146"/>
        <v>0</v>
      </c>
      <c r="AF131" s="63" t="str">
        <f t="shared" si="147"/>
        <v>0</v>
      </c>
      <c r="AG131" s="63" t="str">
        <f t="shared" si="148"/>
        <v>0</v>
      </c>
      <c r="AH131" s="63" t="str">
        <f t="shared" si="149"/>
        <v>0</v>
      </c>
    </row>
    <row r="132">
      <c r="A132" s="63" t="s">
        <v>36</v>
      </c>
      <c r="B132" s="64">
        <v>5.0</v>
      </c>
      <c r="C132" s="64">
        <v>2.0</v>
      </c>
      <c r="D132" s="63" t="str">
        <f t="shared" si="122"/>
        <v>0</v>
      </c>
      <c r="E132" s="65" t="str">
        <f t="shared" si="123"/>
        <v>0</v>
      </c>
      <c r="F132" s="63" t="str">
        <f t="shared" si="124"/>
        <v>0</v>
      </c>
      <c r="G132" s="63" t="str">
        <f t="shared" si="125"/>
        <v>0</v>
      </c>
      <c r="H132" s="63" t="str">
        <f t="shared" si="126"/>
        <v>0</v>
      </c>
      <c r="I132" s="63" t="str">
        <f t="shared" si="127"/>
        <v>0</v>
      </c>
      <c r="J132" s="66" t="str">
        <f t="shared" si="128"/>
        <v>0</v>
      </c>
      <c r="K132" s="63" t="str">
        <f t="shared" ref="K132:L132" si="154">IF(K118="C","1","0")</f>
        <v>1</v>
      </c>
      <c r="L132" s="63" t="str">
        <f t="shared" si="154"/>
        <v>0</v>
      </c>
      <c r="M132" s="66" t="str">
        <f t="shared" si="130"/>
        <v>0</v>
      </c>
      <c r="N132" s="63" t="str">
        <f t="shared" si="131"/>
        <v>0</v>
      </c>
      <c r="O132" s="63" t="str">
        <f t="shared" si="132"/>
        <v>0</v>
      </c>
      <c r="P132" s="63" t="str">
        <f t="shared" si="133"/>
        <v>0</v>
      </c>
      <c r="Q132" s="63" t="str">
        <f t="shared" si="134"/>
        <v>0</v>
      </c>
      <c r="R132" s="66" t="str">
        <f t="shared" si="135"/>
        <v>0</v>
      </c>
      <c r="S132" s="64">
        <v>2.0</v>
      </c>
      <c r="T132" s="63" t="str">
        <f t="shared" si="136"/>
        <v>0</v>
      </c>
      <c r="U132" s="63" t="str">
        <f t="shared" si="137"/>
        <v>0</v>
      </c>
      <c r="V132" s="63" t="str">
        <f t="shared" si="138"/>
        <v>0</v>
      </c>
      <c r="W132" s="63" t="str">
        <f t="shared" ref="W132:X132" si="155">IF(W118="D","1","0")</f>
        <v>1</v>
      </c>
      <c r="X132" s="63" t="str">
        <f t="shared" si="155"/>
        <v>0</v>
      </c>
      <c r="Y132" s="63" t="str">
        <f t="shared" si="140"/>
        <v>1</v>
      </c>
      <c r="Z132" s="63" t="str">
        <f t="shared" si="141"/>
        <v>1</v>
      </c>
      <c r="AA132" s="63" t="str">
        <f t="shared" si="142"/>
        <v>0</v>
      </c>
      <c r="AB132" s="63" t="str">
        <f t="shared" si="143"/>
        <v>0</v>
      </c>
      <c r="AC132" s="63" t="str">
        <f t="shared" si="144"/>
        <v>0</v>
      </c>
      <c r="AD132" s="63" t="str">
        <f t="shared" si="145"/>
        <v>0</v>
      </c>
      <c r="AE132" s="66" t="str">
        <f t="shared" si="146"/>
        <v>0</v>
      </c>
      <c r="AF132" s="63" t="str">
        <f t="shared" si="147"/>
        <v>0</v>
      </c>
      <c r="AG132" s="63" t="str">
        <f t="shared" si="148"/>
        <v>0</v>
      </c>
      <c r="AH132" s="63" t="str">
        <f t="shared" si="149"/>
        <v>0</v>
      </c>
    </row>
    <row r="133">
      <c r="A133" s="63" t="s">
        <v>37</v>
      </c>
      <c r="B133" s="64">
        <v>5.0</v>
      </c>
      <c r="C133" s="64">
        <v>2.0</v>
      </c>
      <c r="D133" s="63" t="str">
        <f t="shared" si="122"/>
        <v>0</v>
      </c>
      <c r="E133" s="65" t="str">
        <f t="shared" si="123"/>
        <v>0</v>
      </c>
      <c r="F133" s="63" t="str">
        <f t="shared" si="124"/>
        <v>1</v>
      </c>
      <c r="G133" s="63" t="str">
        <f t="shared" si="125"/>
        <v>0</v>
      </c>
      <c r="H133" s="63" t="str">
        <f t="shared" si="126"/>
        <v>0</v>
      </c>
      <c r="I133" s="63" t="str">
        <f t="shared" si="127"/>
        <v>0</v>
      </c>
      <c r="J133" s="66" t="str">
        <f t="shared" si="128"/>
        <v>1</v>
      </c>
      <c r="K133" s="63" t="str">
        <f t="shared" ref="K133:L133" si="156">IF(K119="C","1","0")</f>
        <v>0</v>
      </c>
      <c r="L133" s="63" t="str">
        <f t="shared" si="156"/>
        <v>0</v>
      </c>
      <c r="M133" s="66" t="str">
        <f t="shared" si="130"/>
        <v>0</v>
      </c>
      <c r="N133" s="63" t="str">
        <f t="shared" si="131"/>
        <v>1</v>
      </c>
      <c r="O133" s="63" t="str">
        <f t="shared" si="132"/>
        <v>0</v>
      </c>
      <c r="P133" s="63" t="str">
        <f t="shared" si="133"/>
        <v>1</v>
      </c>
      <c r="Q133" s="63" t="str">
        <f t="shared" si="134"/>
        <v>0</v>
      </c>
      <c r="R133" s="66" t="str">
        <f t="shared" si="135"/>
        <v>0</v>
      </c>
      <c r="S133" s="64">
        <v>2.0</v>
      </c>
      <c r="T133" s="63" t="str">
        <f t="shared" si="136"/>
        <v>0</v>
      </c>
      <c r="U133" s="63" t="str">
        <f t="shared" si="137"/>
        <v>0</v>
      </c>
      <c r="V133" s="63" t="str">
        <f t="shared" si="138"/>
        <v>1</v>
      </c>
      <c r="W133" s="63" t="str">
        <f t="shared" ref="W133:X133" si="157">IF(W119="D","1","0")</f>
        <v>0</v>
      </c>
      <c r="X133" s="63" t="str">
        <f t="shared" si="157"/>
        <v>1</v>
      </c>
      <c r="Y133" s="63" t="str">
        <f t="shared" si="140"/>
        <v>0</v>
      </c>
      <c r="Z133" s="63" t="str">
        <f t="shared" si="141"/>
        <v>0</v>
      </c>
      <c r="AA133" s="63" t="str">
        <f t="shared" si="142"/>
        <v>1</v>
      </c>
      <c r="AB133" s="63" t="str">
        <f t="shared" si="143"/>
        <v>0</v>
      </c>
      <c r="AC133" s="63" t="str">
        <f t="shared" si="144"/>
        <v>0</v>
      </c>
      <c r="AD133" s="63" t="str">
        <f t="shared" si="145"/>
        <v>0</v>
      </c>
      <c r="AE133" s="66" t="str">
        <f t="shared" si="146"/>
        <v>0</v>
      </c>
      <c r="AF133" s="63" t="str">
        <f t="shared" si="147"/>
        <v>0</v>
      </c>
      <c r="AG133" s="63" t="str">
        <f t="shared" si="148"/>
        <v>0</v>
      </c>
      <c r="AH133" s="63" t="str">
        <f t="shared" si="149"/>
        <v>0</v>
      </c>
    </row>
    <row r="134">
      <c r="A134" s="63" t="s">
        <v>38</v>
      </c>
      <c r="B134" s="64">
        <v>5.0</v>
      </c>
      <c r="C134" s="64">
        <v>1.0</v>
      </c>
      <c r="D134" s="63" t="str">
        <f t="shared" si="122"/>
        <v>0</v>
      </c>
      <c r="E134" s="65" t="str">
        <f t="shared" si="123"/>
        <v>0</v>
      </c>
      <c r="F134" s="63" t="str">
        <f t="shared" si="124"/>
        <v>0</v>
      </c>
      <c r="G134" s="63" t="str">
        <f t="shared" si="125"/>
        <v>0</v>
      </c>
      <c r="H134" s="63" t="str">
        <f t="shared" si="126"/>
        <v>1</v>
      </c>
      <c r="I134" s="63" t="str">
        <f t="shared" si="127"/>
        <v>0</v>
      </c>
      <c r="J134" s="66" t="str">
        <f t="shared" si="128"/>
        <v>0</v>
      </c>
      <c r="K134" s="63" t="str">
        <f t="shared" ref="K134:L134" si="158">IF(K120="C","1","0")</f>
        <v>0</v>
      </c>
      <c r="L134" s="63" t="str">
        <f t="shared" si="158"/>
        <v>0</v>
      </c>
      <c r="M134" s="66" t="str">
        <f t="shared" si="130"/>
        <v>0</v>
      </c>
      <c r="N134" s="63" t="str">
        <f t="shared" si="131"/>
        <v>1</v>
      </c>
      <c r="O134" s="63" t="str">
        <f t="shared" si="132"/>
        <v>0</v>
      </c>
      <c r="P134" s="63" t="str">
        <f t="shared" si="133"/>
        <v>1</v>
      </c>
      <c r="Q134" s="63" t="str">
        <f t="shared" si="134"/>
        <v>0</v>
      </c>
      <c r="R134" s="66" t="str">
        <f t="shared" si="135"/>
        <v>0</v>
      </c>
      <c r="S134" s="64">
        <v>1.0</v>
      </c>
      <c r="T134" s="63" t="str">
        <f t="shared" si="136"/>
        <v>0</v>
      </c>
      <c r="U134" s="63" t="str">
        <f t="shared" si="137"/>
        <v>0</v>
      </c>
      <c r="V134" s="63" t="str">
        <f t="shared" si="138"/>
        <v>1</v>
      </c>
      <c r="W134" s="63" t="str">
        <f t="shared" ref="W134:X134" si="159">IF(W120="D","1","0")</f>
        <v>0</v>
      </c>
      <c r="X134" s="63" t="str">
        <f t="shared" si="159"/>
        <v>0</v>
      </c>
      <c r="Y134" s="63" t="str">
        <f t="shared" si="140"/>
        <v>1</v>
      </c>
      <c r="Z134" s="63" t="str">
        <f t="shared" si="141"/>
        <v>1</v>
      </c>
      <c r="AA134" s="63" t="str">
        <f t="shared" si="142"/>
        <v>0</v>
      </c>
      <c r="AB134" s="63" t="str">
        <f t="shared" si="143"/>
        <v>1</v>
      </c>
      <c r="AC134" s="63" t="str">
        <f t="shared" si="144"/>
        <v>0</v>
      </c>
      <c r="AD134" s="63" t="str">
        <f t="shared" si="145"/>
        <v>0</v>
      </c>
      <c r="AE134" s="66" t="str">
        <f t="shared" si="146"/>
        <v>0</v>
      </c>
      <c r="AF134" s="63" t="str">
        <f t="shared" si="147"/>
        <v>0</v>
      </c>
      <c r="AG134" s="63" t="str">
        <f t="shared" si="148"/>
        <v>0</v>
      </c>
      <c r="AH134" s="63" t="str">
        <f t="shared" si="149"/>
        <v>1</v>
      </c>
    </row>
    <row r="135">
      <c r="A135" s="63" t="s">
        <v>39</v>
      </c>
      <c r="B135" s="64">
        <v>5.0</v>
      </c>
      <c r="C135" s="64">
        <v>1.0</v>
      </c>
      <c r="D135" s="63" t="str">
        <f t="shared" si="122"/>
        <v>0</v>
      </c>
      <c r="E135" s="65" t="str">
        <f t="shared" si="123"/>
        <v>0</v>
      </c>
      <c r="F135" s="63" t="str">
        <f t="shared" si="124"/>
        <v>0</v>
      </c>
      <c r="G135" s="63" t="str">
        <f t="shared" si="125"/>
        <v>1</v>
      </c>
      <c r="H135" s="63" t="str">
        <f t="shared" si="126"/>
        <v>0</v>
      </c>
      <c r="I135" s="63" t="str">
        <f t="shared" si="127"/>
        <v>0</v>
      </c>
      <c r="J135" s="66" t="str">
        <f t="shared" si="128"/>
        <v>0</v>
      </c>
      <c r="K135" s="63" t="str">
        <f t="shared" ref="K135:L135" si="160">IF(K121="C","1","0")</f>
        <v>0</v>
      </c>
      <c r="L135" s="63" t="str">
        <f t="shared" si="160"/>
        <v>1</v>
      </c>
      <c r="M135" s="66" t="str">
        <f t="shared" si="130"/>
        <v>0</v>
      </c>
      <c r="N135" s="63" t="str">
        <f t="shared" si="131"/>
        <v>1</v>
      </c>
      <c r="O135" s="63" t="str">
        <f t="shared" si="132"/>
        <v>0</v>
      </c>
      <c r="P135" s="63" t="str">
        <f t="shared" si="133"/>
        <v>1</v>
      </c>
      <c r="Q135" s="63" t="str">
        <f t="shared" si="134"/>
        <v>0</v>
      </c>
      <c r="R135" s="66" t="str">
        <f t="shared" si="135"/>
        <v>0</v>
      </c>
      <c r="S135" s="64">
        <v>1.0</v>
      </c>
      <c r="T135" s="63" t="str">
        <f t="shared" si="136"/>
        <v>1</v>
      </c>
      <c r="U135" s="63" t="str">
        <f t="shared" si="137"/>
        <v>0</v>
      </c>
      <c r="V135" s="63" t="str">
        <f t="shared" si="138"/>
        <v>0</v>
      </c>
      <c r="W135" s="63" t="str">
        <f t="shared" ref="W135:X135" si="161">IF(W121="D","1","0")</f>
        <v>1</v>
      </c>
      <c r="X135" s="63" t="str">
        <f t="shared" si="161"/>
        <v>0</v>
      </c>
      <c r="Y135" s="63" t="str">
        <f t="shared" si="140"/>
        <v>0</v>
      </c>
      <c r="Z135" s="63" t="str">
        <f t="shared" si="141"/>
        <v>0</v>
      </c>
      <c r="AA135" s="63" t="str">
        <f t="shared" si="142"/>
        <v>0</v>
      </c>
      <c r="AB135" s="63" t="str">
        <f t="shared" si="143"/>
        <v>0</v>
      </c>
      <c r="AC135" s="63" t="str">
        <f t="shared" si="144"/>
        <v>1</v>
      </c>
      <c r="AD135" s="63" t="str">
        <f t="shared" si="145"/>
        <v>0</v>
      </c>
      <c r="AE135" s="66" t="str">
        <f t="shared" si="146"/>
        <v>1</v>
      </c>
      <c r="AF135" s="63" t="str">
        <f t="shared" si="147"/>
        <v>0</v>
      </c>
      <c r="AG135" s="63" t="str">
        <f t="shared" si="148"/>
        <v>0</v>
      </c>
      <c r="AH135" s="63" t="str">
        <f t="shared" si="149"/>
        <v>0</v>
      </c>
    </row>
    <row r="136">
      <c r="A136" s="63" t="s">
        <v>40</v>
      </c>
      <c r="B136" s="64">
        <v>5.0</v>
      </c>
      <c r="C136" s="64">
        <v>1.0</v>
      </c>
      <c r="D136" s="63" t="str">
        <f t="shared" si="122"/>
        <v>0</v>
      </c>
      <c r="E136" s="65" t="str">
        <f t="shared" si="123"/>
        <v>0</v>
      </c>
      <c r="F136" s="63" t="str">
        <f t="shared" si="124"/>
        <v>0</v>
      </c>
      <c r="G136" s="63" t="str">
        <f t="shared" si="125"/>
        <v>0</v>
      </c>
      <c r="H136" s="63" t="str">
        <f t="shared" si="126"/>
        <v>0</v>
      </c>
      <c r="I136" s="63" t="str">
        <f t="shared" si="127"/>
        <v>0</v>
      </c>
      <c r="J136" s="66" t="str">
        <f t="shared" si="128"/>
        <v>1</v>
      </c>
      <c r="K136" s="63" t="str">
        <f t="shared" ref="K136:L136" si="162">IF(K122="C","1","0")</f>
        <v>1</v>
      </c>
      <c r="L136" s="63" t="str">
        <f t="shared" si="162"/>
        <v>0</v>
      </c>
      <c r="M136" s="66" t="str">
        <f t="shared" si="130"/>
        <v>0</v>
      </c>
      <c r="N136" s="63" t="str">
        <f t="shared" si="131"/>
        <v>0</v>
      </c>
      <c r="O136" s="63" t="str">
        <f t="shared" si="132"/>
        <v>1</v>
      </c>
      <c r="P136" s="63" t="str">
        <f t="shared" si="133"/>
        <v>0</v>
      </c>
      <c r="Q136" s="63" t="str">
        <f t="shared" si="134"/>
        <v>0</v>
      </c>
      <c r="R136" s="66" t="str">
        <f t="shared" si="135"/>
        <v>0</v>
      </c>
      <c r="S136" s="64">
        <v>1.0</v>
      </c>
      <c r="T136" s="63" t="str">
        <f t="shared" si="136"/>
        <v>0</v>
      </c>
      <c r="U136" s="63" t="str">
        <f t="shared" si="137"/>
        <v>0</v>
      </c>
      <c r="V136" s="63" t="str">
        <f t="shared" si="138"/>
        <v>0</v>
      </c>
      <c r="W136" s="63" t="str">
        <f t="shared" ref="W136:X136" si="163">IF(W122="D","1","0")</f>
        <v>0</v>
      </c>
      <c r="X136" s="63" t="str">
        <f t="shared" si="163"/>
        <v>0</v>
      </c>
      <c r="Y136" s="63" t="str">
        <f t="shared" si="140"/>
        <v>0</v>
      </c>
      <c r="Z136" s="63" t="str">
        <f t="shared" si="141"/>
        <v>1</v>
      </c>
      <c r="AA136" s="63" t="str">
        <f t="shared" si="142"/>
        <v>0</v>
      </c>
      <c r="AB136" s="63" t="str">
        <f t="shared" si="143"/>
        <v>0</v>
      </c>
      <c r="AC136" s="63" t="str">
        <f t="shared" si="144"/>
        <v>1</v>
      </c>
      <c r="AD136" s="63" t="str">
        <f t="shared" si="145"/>
        <v>1</v>
      </c>
      <c r="AE136" s="66" t="str">
        <f t="shared" si="146"/>
        <v>0</v>
      </c>
      <c r="AF136" s="63" t="str">
        <f t="shared" si="147"/>
        <v>0</v>
      </c>
      <c r="AG136" s="63" t="str">
        <f t="shared" si="148"/>
        <v>0</v>
      </c>
      <c r="AH136" s="63" t="str">
        <f t="shared" si="149"/>
        <v>0</v>
      </c>
    </row>
    <row r="137">
      <c r="A137" s="63" t="s">
        <v>41</v>
      </c>
      <c r="B137" s="64">
        <v>5.0</v>
      </c>
      <c r="C137" s="64">
        <v>1.0</v>
      </c>
      <c r="D137" s="63" t="str">
        <f t="shared" si="122"/>
        <v>0</v>
      </c>
      <c r="E137" s="65" t="str">
        <f t="shared" si="123"/>
        <v>0</v>
      </c>
      <c r="F137" s="63" t="str">
        <f t="shared" si="124"/>
        <v>0</v>
      </c>
      <c r="G137" s="63" t="str">
        <f t="shared" si="125"/>
        <v>1</v>
      </c>
      <c r="H137" s="63" t="str">
        <f t="shared" si="126"/>
        <v>1</v>
      </c>
      <c r="I137" s="63" t="str">
        <f t="shared" si="127"/>
        <v>0</v>
      </c>
      <c r="J137" s="66" t="str">
        <f t="shared" si="128"/>
        <v>1</v>
      </c>
      <c r="K137" s="63" t="str">
        <f t="shared" ref="K137:L137" si="164">IF(K123="C","1","0")</f>
        <v>0</v>
      </c>
      <c r="L137" s="63" t="str">
        <f t="shared" si="164"/>
        <v>1</v>
      </c>
      <c r="M137" s="66" t="str">
        <f t="shared" si="130"/>
        <v>1</v>
      </c>
      <c r="N137" s="63" t="str">
        <f t="shared" si="131"/>
        <v>1</v>
      </c>
      <c r="O137" s="63" t="str">
        <f t="shared" si="132"/>
        <v>0</v>
      </c>
      <c r="P137" s="63" t="str">
        <f t="shared" si="133"/>
        <v>0</v>
      </c>
      <c r="Q137" s="63" t="str">
        <f t="shared" si="134"/>
        <v>0</v>
      </c>
      <c r="R137" s="66" t="str">
        <f t="shared" si="135"/>
        <v>0</v>
      </c>
      <c r="S137" s="64">
        <v>1.0</v>
      </c>
      <c r="T137" s="63" t="str">
        <f t="shared" si="136"/>
        <v>0</v>
      </c>
      <c r="U137" s="63" t="str">
        <f t="shared" si="137"/>
        <v>0</v>
      </c>
      <c r="V137" s="63" t="str">
        <f t="shared" si="138"/>
        <v>1</v>
      </c>
      <c r="W137" s="63" t="str">
        <f t="shared" ref="W137:X137" si="165">IF(W123="D","1","0")</f>
        <v>1</v>
      </c>
      <c r="X137" s="63" t="str">
        <f t="shared" si="165"/>
        <v>0</v>
      </c>
      <c r="Y137" s="63" t="str">
        <f t="shared" si="140"/>
        <v>1</v>
      </c>
      <c r="Z137" s="63" t="str">
        <f t="shared" si="141"/>
        <v>1</v>
      </c>
      <c r="AA137" s="63" t="str">
        <f t="shared" si="142"/>
        <v>0</v>
      </c>
      <c r="AB137" s="63" t="str">
        <f t="shared" si="143"/>
        <v>1</v>
      </c>
      <c r="AC137" s="63" t="str">
        <f t="shared" si="144"/>
        <v>1</v>
      </c>
      <c r="AD137" s="63" t="str">
        <f t="shared" si="145"/>
        <v>0</v>
      </c>
      <c r="AE137" s="66" t="str">
        <f t="shared" si="146"/>
        <v>0</v>
      </c>
      <c r="AF137" s="63" t="str">
        <f t="shared" si="147"/>
        <v>0</v>
      </c>
      <c r="AG137" s="63" t="str">
        <f t="shared" si="148"/>
        <v>0</v>
      </c>
      <c r="AH137" s="63" t="str">
        <f t="shared" si="149"/>
        <v>1</v>
      </c>
    </row>
    <row r="138">
      <c r="A138" s="63" t="s">
        <v>42</v>
      </c>
      <c r="B138" s="64">
        <v>5.0</v>
      </c>
      <c r="C138" s="64">
        <v>1.0</v>
      </c>
      <c r="D138" s="63" t="str">
        <f t="shared" si="122"/>
        <v>1</v>
      </c>
      <c r="E138" s="65" t="str">
        <f t="shared" si="123"/>
        <v>1</v>
      </c>
      <c r="F138" s="63" t="str">
        <f t="shared" si="124"/>
        <v>0</v>
      </c>
      <c r="G138" s="63" t="str">
        <f t="shared" si="125"/>
        <v>1</v>
      </c>
      <c r="H138" s="63" t="str">
        <f t="shared" si="126"/>
        <v>1</v>
      </c>
      <c r="I138" s="63" t="str">
        <f t="shared" si="127"/>
        <v>0</v>
      </c>
      <c r="J138" s="66" t="str">
        <f t="shared" si="128"/>
        <v>0</v>
      </c>
      <c r="K138" s="63" t="str">
        <f t="shared" ref="K138:L138" si="166">IF(K124="C","1","0")</f>
        <v>0</v>
      </c>
      <c r="L138" s="63" t="str">
        <f t="shared" si="166"/>
        <v>0</v>
      </c>
      <c r="M138" s="66" t="str">
        <f t="shared" si="130"/>
        <v>1</v>
      </c>
      <c r="N138" s="63" t="str">
        <f t="shared" si="131"/>
        <v>0</v>
      </c>
      <c r="O138" s="63" t="str">
        <f t="shared" si="132"/>
        <v>0</v>
      </c>
      <c r="P138" s="63" t="str">
        <f t="shared" si="133"/>
        <v>0</v>
      </c>
      <c r="Q138" s="63" t="str">
        <f t="shared" si="134"/>
        <v>1</v>
      </c>
      <c r="R138" s="66" t="str">
        <f t="shared" si="135"/>
        <v>0</v>
      </c>
      <c r="S138" s="64">
        <v>1.0</v>
      </c>
      <c r="T138" s="63" t="str">
        <f t="shared" si="136"/>
        <v>0</v>
      </c>
      <c r="U138" s="63" t="str">
        <f t="shared" si="137"/>
        <v>0</v>
      </c>
      <c r="V138" s="63" t="str">
        <f t="shared" si="138"/>
        <v>1</v>
      </c>
      <c r="W138" s="63" t="str">
        <f t="shared" ref="W138:X138" si="167">IF(W124="D","1","0")</f>
        <v>0</v>
      </c>
      <c r="X138" s="63" t="str">
        <f t="shared" si="167"/>
        <v>1</v>
      </c>
      <c r="Y138" s="63" t="str">
        <f t="shared" si="140"/>
        <v>0</v>
      </c>
      <c r="Z138" s="63" t="str">
        <f t="shared" si="141"/>
        <v>1</v>
      </c>
      <c r="AA138" s="63" t="str">
        <f t="shared" si="142"/>
        <v>0</v>
      </c>
      <c r="AB138" s="63" t="str">
        <f t="shared" si="143"/>
        <v>0</v>
      </c>
      <c r="AC138" s="63" t="str">
        <f t="shared" si="144"/>
        <v>0</v>
      </c>
      <c r="AD138" s="63" t="str">
        <f t="shared" si="145"/>
        <v>0</v>
      </c>
      <c r="AE138" s="66" t="str">
        <f t="shared" si="146"/>
        <v>1</v>
      </c>
      <c r="AF138" s="63" t="str">
        <f t="shared" si="147"/>
        <v>0</v>
      </c>
      <c r="AG138" s="63" t="str">
        <f t="shared" si="148"/>
        <v>1</v>
      </c>
      <c r="AH138" s="63" t="str">
        <f t="shared" si="149"/>
        <v>0</v>
      </c>
    </row>
    <row r="139">
      <c r="A139" s="63" t="s">
        <v>43</v>
      </c>
      <c r="B139" s="64">
        <v>5.0</v>
      </c>
      <c r="C139" s="64">
        <v>1.0</v>
      </c>
      <c r="D139" s="63" t="str">
        <f t="shared" si="122"/>
        <v>0</v>
      </c>
      <c r="E139" s="65" t="str">
        <f t="shared" si="123"/>
        <v>0</v>
      </c>
      <c r="F139" s="63" t="str">
        <f t="shared" si="124"/>
        <v>0</v>
      </c>
      <c r="G139" s="63" t="str">
        <f t="shared" si="125"/>
        <v>1</v>
      </c>
      <c r="H139" s="63" t="str">
        <f t="shared" si="126"/>
        <v>1</v>
      </c>
      <c r="I139" s="63" t="str">
        <f t="shared" si="127"/>
        <v>0</v>
      </c>
      <c r="J139" s="66" t="str">
        <f t="shared" si="128"/>
        <v>1</v>
      </c>
      <c r="K139" s="63" t="str">
        <f t="shared" ref="K139:L139" si="168">IF(K125="C","1","0")</f>
        <v>1</v>
      </c>
      <c r="L139" s="63" t="str">
        <f t="shared" si="168"/>
        <v>0</v>
      </c>
      <c r="M139" s="66" t="str">
        <f t="shared" si="130"/>
        <v>1</v>
      </c>
      <c r="N139" s="63" t="str">
        <f t="shared" si="131"/>
        <v>1</v>
      </c>
      <c r="O139" s="63" t="str">
        <f t="shared" si="132"/>
        <v>0</v>
      </c>
      <c r="P139" s="63" t="str">
        <f t="shared" si="133"/>
        <v>1</v>
      </c>
      <c r="Q139" s="63" t="str">
        <f t="shared" si="134"/>
        <v>1</v>
      </c>
      <c r="R139" s="66" t="str">
        <f t="shared" si="135"/>
        <v>0</v>
      </c>
      <c r="S139" s="64">
        <v>1.0</v>
      </c>
      <c r="T139" s="63" t="str">
        <f t="shared" si="136"/>
        <v>0</v>
      </c>
      <c r="U139" s="63" t="str">
        <f t="shared" si="137"/>
        <v>0</v>
      </c>
      <c r="V139" s="63" t="str">
        <f t="shared" si="138"/>
        <v>0</v>
      </c>
      <c r="W139" s="63" t="str">
        <f t="shared" ref="W139:X139" si="169">IF(W125="D","1","0")</f>
        <v>0</v>
      </c>
      <c r="X139" s="63" t="str">
        <f t="shared" si="169"/>
        <v>0</v>
      </c>
      <c r="Y139" s="63" t="str">
        <f t="shared" si="140"/>
        <v>0</v>
      </c>
      <c r="Z139" s="63" t="str">
        <f t="shared" si="141"/>
        <v>1</v>
      </c>
      <c r="AA139" s="63" t="str">
        <f t="shared" si="142"/>
        <v>0</v>
      </c>
      <c r="AB139" s="63" t="str">
        <f t="shared" si="143"/>
        <v>1</v>
      </c>
      <c r="AC139" s="63" t="str">
        <f t="shared" si="144"/>
        <v>0</v>
      </c>
      <c r="AD139" s="63" t="str">
        <f t="shared" si="145"/>
        <v>0</v>
      </c>
      <c r="AE139" s="66" t="str">
        <f t="shared" si="146"/>
        <v>0</v>
      </c>
      <c r="AF139" s="63" t="str">
        <f t="shared" si="147"/>
        <v>0</v>
      </c>
      <c r="AG139" s="63" t="str">
        <f t="shared" si="148"/>
        <v>0</v>
      </c>
      <c r="AH139" s="63" t="str">
        <f t="shared" si="149"/>
        <v>1</v>
      </c>
    </row>
    <row r="140">
      <c r="A140" s="53" t="s">
        <v>80</v>
      </c>
      <c r="B140" s="62">
        <v>5.0</v>
      </c>
      <c r="C140" s="63"/>
      <c r="D140" s="63" t="str">
        <f t="shared" si="122"/>
        <v>1</v>
      </c>
      <c r="E140" s="65" t="str">
        <f t="shared" si="123"/>
        <v>1</v>
      </c>
      <c r="F140" s="63" t="str">
        <f t="shared" si="124"/>
        <v>1</v>
      </c>
      <c r="G140" s="63" t="str">
        <f t="shared" si="125"/>
        <v>1</v>
      </c>
      <c r="H140" s="63" t="str">
        <f t="shared" si="126"/>
        <v>1</v>
      </c>
      <c r="I140" s="63" t="str">
        <f t="shared" si="127"/>
        <v>1</v>
      </c>
      <c r="J140" s="66" t="str">
        <f t="shared" si="128"/>
        <v>1</v>
      </c>
      <c r="K140" s="63" t="str">
        <f t="shared" ref="K140:L140" si="170">IF(K126="C","1","0")</f>
        <v>1</v>
      </c>
      <c r="L140" s="63" t="str">
        <f t="shared" si="170"/>
        <v>1</v>
      </c>
      <c r="M140" s="66" t="str">
        <f t="shared" si="130"/>
        <v>1</v>
      </c>
      <c r="N140" s="63" t="str">
        <f t="shared" si="131"/>
        <v>1</v>
      </c>
      <c r="O140" s="63" t="str">
        <f t="shared" si="132"/>
        <v>1</v>
      </c>
      <c r="P140" s="63" t="str">
        <f t="shared" si="133"/>
        <v>1</v>
      </c>
      <c r="Q140" s="63" t="str">
        <f t="shared" si="134"/>
        <v>1</v>
      </c>
      <c r="R140" s="66" t="str">
        <f t="shared" si="135"/>
        <v>1</v>
      </c>
      <c r="S140" s="63"/>
      <c r="T140" s="63" t="str">
        <f t="shared" si="136"/>
        <v>1</v>
      </c>
      <c r="U140" s="63" t="str">
        <f t="shared" si="137"/>
        <v>1</v>
      </c>
      <c r="V140" s="63" t="str">
        <f t="shared" si="138"/>
        <v>1</v>
      </c>
      <c r="W140" s="63" t="str">
        <f t="shared" ref="W140:X140" si="171">IF(W126="D","1","0")</f>
        <v>1</v>
      </c>
      <c r="X140" s="63" t="str">
        <f t="shared" si="171"/>
        <v>1</v>
      </c>
      <c r="Y140" s="63" t="str">
        <f t="shared" si="140"/>
        <v>1</v>
      </c>
      <c r="Z140" s="63" t="str">
        <f t="shared" si="141"/>
        <v>1</v>
      </c>
      <c r="AA140" s="63" t="str">
        <f t="shared" si="142"/>
        <v>1</v>
      </c>
      <c r="AB140" s="63" t="str">
        <f t="shared" si="143"/>
        <v>1</v>
      </c>
      <c r="AC140" s="63" t="str">
        <f t="shared" si="144"/>
        <v>1</v>
      </c>
      <c r="AD140" s="63" t="str">
        <f t="shared" si="145"/>
        <v>1</v>
      </c>
      <c r="AE140" s="66" t="str">
        <f t="shared" si="146"/>
        <v>1</v>
      </c>
      <c r="AF140" s="63" t="str">
        <f t="shared" si="147"/>
        <v>1</v>
      </c>
      <c r="AG140" s="63" t="str">
        <f t="shared" si="148"/>
        <v>1</v>
      </c>
      <c r="AH140" s="63" t="str">
        <f t="shared" si="149"/>
        <v>1</v>
      </c>
    </row>
    <row r="141">
      <c r="A141" s="53" t="s">
        <v>81</v>
      </c>
      <c r="B141" s="62">
        <v>5.0</v>
      </c>
      <c r="C141" s="63"/>
      <c r="D141" s="62">
        <v>10.0</v>
      </c>
      <c r="E141" s="62">
        <v>9.0</v>
      </c>
      <c r="F141" s="62">
        <v>17.0</v>
      </c>
      <c r="G141" s="62">
        <v>8.0</v>
      </c>
      <c r="H141" s="62">
        <v>1.0</v>
      </c>
      <c r="I141" s="62">
        <v>20.0</v>
      </c>
      <c r="J141" s="62">
        <v>6.0</v>
      </c>
      <c r="K141" s="62">
        <v>28.0</v>
      </c>
      <c r="L141" s="62">
        <v>3.0</v>
      </c>
      <c r="M141" s="62">
        <v>16.0</v>
      </c>
      <c r="N141" s="62">
        <v>5.0</v>
      </c>
      <c r="O141" s="62">
        <v>12.0</v>
      </c>
      <c r="P141" s="62">
        <v>30.0</v>
      </c>
      <c r="Q141" s="62">
        <v>18.0</v>
      </c>
      <c r="R141" s="62">
        <v>4.0</v>
      </c>
      <c r="S141" s="63"/>
      <c r="T141" s="62">
        <v>22.0</v>
      </c>
      <c r="U141" s="62">
        <v>24.0</v>
      </c>
      <c r="V141" s="62">
        <v>15.0</v>
      </c>
      <c r="W141" s="62">
        <v>14.0</v>
      </c>
      <c r="X141" s="62">
        <v>19.0</v>
      </c>
      <c r="Y141" s="62">
        <v>2.0</v>
      </c>
      <c r="Z141" s="62">
        <v>21.0</v>
      </c>
      <c r="AA141" s="62">
        <v>25.0</v>
      </c>
      <c r="AB141" s="62">
        <v>11.0</v>
      </c>
      <c r="AC141" s="62">
        <v>13.0</v>
      </c>
      <c r="AD141" s="62">
        <v>27.0</v>
      </c>
      <c r="AE141" s="62">
        <v>29.0</v>
      </c>
      <c r="AF141" s="62">
        <v>23.0</v>
      </c>
      <c r="AG141" s="62">
        <v>7.0</v>
      </c>
      <c r="AH141" s="62">
        <v>26.0</v>
      </c>
    </row>
    <row r="142">
      <c r="S142" s="8"/>
    </row>
    <row r="143">
      <c r="S143" s="8"/>
    </row>
    <row r="144">
      <c r="S144" s="8"/>
    </row>
    <row r="145">
      <c r="S145" s="8"/>
    </row>
    <row r="146">
      <c r="S146" s="8"/>
    </row>
    <row r="147">
      <c r="S147" s="8"/>
    </row>
    <row r="148">
      <c r="S148" s="8"/>
    </row>
    <row r="149">
      <c r="S149" s="8"/>
    </row>
    <row r="150">
      <c r="S150" s="8"/>
    </row>
    <row r="151">
      <c r="S151" s="8"/>
    </row>
    <row r="152">
      <c r="S152" s="8"/>
    </row>
    <row r="153">
      <c r="S153" s="8"/>
    </row>
    <row r="154">
      <c r="S154" s="8"/>
    </row>
    <row r="155">
      <c r="S155" s="8"/>
    </row>
    <row r="156">
      <c r="S156" s="8"/>
    </row>
    <row r="157">
      <c r="S157" s="8"/>
    </row>
    <row r="158">
      <c r="S158" s="8"/>
    </row>
    <row r="159">
      <c r="S159" s="8"/>
    </row>
    <row r="160">
      <c r="S160" s="8"/>
    </row>
    <row r="161">
      <c r="S161" s="8"/>
    </row>
    <row r="162">
      <c r="S162" s="8"/>
    </row>
    <row r="163">
      <c r="S163" s="8"/>
    </row>
    <row r="164">
      <c r="S164" s="8"/>
    </row>
    <row r="165">
      <c r="S165" s="8"/>
    </row>
    <row r="166">
      <c r="S166" s="8"/>
    </row>
    <row r="167">
      <c r="S167" s="8"/>
    </row>
    <row r="168">
      <c r="S168" s="8"/>
    </row>
    <row r="169">
      <c r="S169" s="8"/>
    </row>
    <row r="170">
      <c r="S170" s="8"/>
    </row>
    <row r="171">
      <c r="S171" s="8"/>
    </row>
    <row r="172">
      <c r="S172" s="8"/>
    </row>
    <row r="173">
      <c r="S173" s="8"/>
    </row>
    <row r="174">
      <c r="S174" s="8"/>
    </row>
    <row r="175">
      <c r="S175" s="8"/>
    </row>
    <row r="176">
      <c r="S176" s="8"/>
    </row>
    <row r="177">
      <c r="S177" s="8"/>
    </row>
    <row r="178">
      <c r="S178" s="8"/>
    </row>
    <row r="179">
      <c r="S179" s="8"/>
    </row>
    <row r="180">
      <c r="S180" s="8"/>
    </row>
    <row r="181">
      <c r="S181" s="8"/>
    </row>
    <row r="182">
      <c r="S182" s="8"/>
    </row>
    <row r="183">
      <c r="S183" s="8"/>
    </row>
    <row r="184">
      <c r="S184" s="8"/>
    </row>
    <row r="185">
      <c r="S185" s="8"/>
    </row>
    <row r="186">
      <c r="S186" s="8"/>
    </row>
    <row r="187">
      <c r="S187" s="8"/>
    </row>
    <row r="188">
      <c r="S188" s="8"/>
    </row>
    <row r="189">
      <c r="S189" s="8"/>
    </row>
    <row r="190">
      <c r="S190" s="8"/>
    </row>
    <row r="191">
      <c r="S191" s="8"/>
    </row>
    <row r="192">
      <c r="S192" s="8"/>
    </row>
    <row r="193">
      <c r="S193" s="8"/>
    </row>
    <row r="194">
      <c r="S194" s="8"/>
    </row>
    <row r="195">
      <c r="S195" s="8"/>
    </row>
    <row r="196">
      <c r="S196" s="8"/>
    </row>
    <row r="197">
      <c r="S197" s="8"/>
    </row>
    <row r="198">
      <c r="S198" s="8"/>
    </row>
    <row r="199">
      <c r="S199" s="8"/>
    </row>
    <row r="200">
      <c r="S200" s="8"/>
    </row>
    <row r="201">
      <c r="S201" s="8"/>
    </row>
    <row r="202">
      <c r="S202" s="8"/>
    </row>
    <row r="203">
      <c r="S203" s="8"/>
    </row>
    <row r="204">
      <c r="S204" s="8"/>
    </row>
    <row r="205">
      <c r="S205" s="8"/>
    </row>
    <row r="206">
      <c r="S206" s="8"/>
    </row>
    <row r="207">
      <c r="S207" s="8"/>
    </row>
    <row r="208">
      <c r="S208" s="8"/>
    </row>
    <row r="209">
      <c r="S209" s="8"/>
    </row>
    <row r="210">
      <c r="S210" s="8"/>
    </row>
    <row r="211">
      <c r="S211" s="8"/>
    </row>
    <row r="212">
      <c r="S212" s="8"/>
    </row>
    <row r="213">
      <c r="S213" s="8"/>
    </row>
    <row r="214">
      <c r="S214" s="8"/>
    </row>
    <row r="215">
      <c r="S215" s="8"/>
    </row>
    <row r="216">
      <c r="S216" s="8"/>
    </row>
    <row r="217">
      <c r="S217" s="8"/>
    </row>
    <row r="218">
      <c r="S218" s="8"/>
    </row>
    <row r="219">
      <c r="S219" s="8"/>
    </row>
    <row r="220">
      <c r="S220" s="8"/>
    </row>
    <row r="221">
      <c r="S221" s="8"/>
    </row>
    <row r="222">
      <c r="S222" s="8"/>
    </row>
    <row r="223">
      <c r="S223" s="8"/>
    </row>
    <row r="224">
      <c r="S224" s="8"/>
    </row>
    <row r="225">
      <c r="S225" s="8"/>
    </row>
    <row r="226">
      <c r="S226" s="8"/>
    </row>
    <row r="227">
      <c r="S227" s="8"/>
    </row>
    <row r="228">
      <c r="S228" s="8"/>
    </row>
    <row r="229">
      <c r="S229" s="8"/>
    </row>
    <row r="230">
      <c r="S230" s="8"/>
    </row>
    <row r="231">
      <c r="S231" s="8"/>
    </row>
    <row r="232">
      <c r="S232" s="8"/>
    </row>
    <row r="233">
      <c r="S233" s="8"/>
    </row>
    <row r="234">
      <c r="S234" s="8"/>
    </row>
    <row r="235">
      <c r="S235" s="8"/>
    </row>
    <row r="236">
      <c r="S236" s="8"/>
    </row>
    <row r="237">
      <c r="S237" s="8"/>
    </row>
    <row r="238">
      <c r="S238" s="8"/>
    </row>
    <row r="239">
      <c r="S239" s="8"/>
    </row>
    <row r="240">
      <c r="S240" s="8"/>
    </row>
    <row r="241">
      <c r="S241" s="8"/>
    </row>
    <row r="242">
      <c r="S242" s="8"/>
    </row>
    <row r="243">
      <c r="S243" s="8"/>
    </row>
    <row r="244">
      <c r="S244" s="8"/>
    </row>
    <row r="245">
      <c r="S245" s="8"/>
    </row>
    <row r="246">
      <c r="S246" s="8"/>
    </row>
    <row r="247">
      <c r="S247" s="8"/>
    </row>
    <row r="248">
      <c r="S248" s="8"/>
    </row>
    <row r="249">
      <c r="S249" s="8"/>
    </row>
    <row r="250">
      <c r="S250" s="8"/>
    </row>
    <row r="251">
      <c r="S251" s="8"/>
    </row>
    <row r="252">
      <c r="S252" s="8"/>
    </row>
    <row r="253">
      <c r="S253" s="8"/>
    </row>
    <row r="254">
      <c r="S254" s="8"/>
    </row>
    <row r="255">
      <c r="S255" s="8"/>
    </row>
    <row r="256">
      <c r="S256" s="8"/>
    </row>
    <row r="257">
      <c r="S257" s="8"/>
    </row>
    <row r="258">
      <c r="S258" s="8"/>
    </row>
    <row r="259">
      <c r="S259" s="8"/>
    </row>
    <row r="260">
      <c r="S260" s="8"/>
    </row>
    <row r="261">
      <c r="S261" s="8"/>
    </row>
    <row r="262">
      <c r="S262" s="8"/>
    </row>
    <row r="263">
      <c r="S263" s="8"/>
    </row>
    <row r="264">
      <c r="S264" s="8"/>
    </row>
    <row r="265">
      <c r="S265" s="8"/>
    </row>
    <row r="266">
      <c r="S266" s="8"/>
    </row>
    <row r="267">
      <c r="S267" s="8"/>
    </row>
    <row r="268">
      <c r="S268" s="8"/>
    </row>
    <row r="269">
      <c r="S269" s="8"/>
    </row>
    <row r="270">
      <c r="S270" s="8"/>
    </row>
    <row r="271">
      <c r="S271" s="8"/>
    </row>
    <row r="272">
      <c r="S272" s="8"/>
    </row>
    <row r="273">
      <c r="S273" s="8"/>
    </row>
    <row r="274">
      <c r="S274" s="8"/>
    </row>
    <row r="275">
      <c r="S275" s="8"/>
    </row>
    <row r="276">
      <c r="S276" s="8"/>
    </row>
    <row r="277">
      <c r="S277" s="8"/>
    </row>
    <row r="278">
      <c r="S278" s="8"/>
    </row>
    <row r="279">
      <c r="S279" s="8"/>
    </row>
    <row r="280">
      <c r="S280" s="8"/>
    </row>
    <row r="281">
      <c r="S281" s="8"/>
    </row>
    <row r="282">
      <c r="S282" s="8"/>
    </row>
    <row r="283">
      <c r="S283" s="8"/>
    </row>
    <row r="284">
      <c r="S284" s="8"/>
    </row>
    <row r="285">
      <c r="S285" s="8"/>
    </row>
    <row r="286">
      <c r="S286" s="8"/>
    </row>
    <row r="287">
      <c r="S287" s="8"/>
    </row>
    <row r="288">
      <c r="S288" s="8"/>
    </row>
    <row r="289">
      <c r="S289" s="8"/>
    </row>
    <row r="290">
      <c r="S290" s="8"/>
    </row>
    <row r="291">
      <c r="S291" s="8"/>
    </row>
    <row r="292">
      <c r="S292" s="8"/>
    </row>
    <row r="293">
      <c r="S293" s="8"/>
    </row>
    <row r="294">
      <c r="S294" s="8"/>
    </row>
    <row r="295">
      <c r="S295" s="8"/>
    </row>
    <row r="296">
      <c r="S296" s="8"/>
    </row>
    <row r="297">
      <c r="S297" s="8"/>
    </row>
    <row r="298">
      <c r="S298" s="8"/>
    </row>
    <row r="299">
      <c r="S299" s="8"/>
    </row>
    <row r="300">
      <c r="S300" s="8"/>
    </row>
    <row r="301">
      <c r="S301" s="8"/>
    </row>
    <row r="302">
      <c r="S302" s="8"/>
    </row>
    <row r="303">
      <c r="S303" s="8"/>
    </row>
    <row r="304">
      <c r="S304" s="8"/>
    </row>
    <row r="305">
      <c r="S305" s="8"/>
    </row>
    <row r="306">
      <c r="S306" s="8"/>
    </row>
    <row r="307">
      <c r="S307" s="8"/>
    </row>
    <row r="308">
      <c r="S308" s="8"/>
    </row>
    <row r="309">
      <c r="S309" s="8"/>
    </row>
    <row r="310">
      <c r="S310" s="8"/>
    </row>
    <row r="311">
      <c r="S311" s="8"/>
    </row>
    <row r="312">
      <c r="S312" s="8"/>
    </row>
    <row r="313">
      <c r="S313" s="8"/>
    </row>
    <row r="314">
      <c r="S314" s="8"/>
    </row>
    <row r="315">
      <c r="S315" s="8"/>
    </row>
    <row r="316">
      <c r="S316" s="8"/>
    </row>
    <row r="317">
      <c r="S317" s="8"/>
    </row>
    <row r="318">
      <c r="S318" s="8"/>
    </row>
    <row r="319">
      <c r="S319" s="8"/>
    </row>
    <row r="320">
      <c r="S320" s="8"/>
    </row>
    <row r="321">
      <c r="S321" s="8"/>
    </row>
    <row r="322">
      <c r="S322" s="8"/>
    </row>
    <row r="323">
      <c r="S323" s="8"/>
    </row>
    <row r="324">
      <c r="S324" s="8"/>
    </row>
    <row r="325">
      <c r="S325" s="8"/>
    </row>
    <row r="326">
      <c r="S326" s="8"/>
    </row>
    <row r="327">
      <c r="S327" s="8"/>
    </row>
    <row r="328">
      <c r="S328" s="8"/>
    </row>
    <row r="329">
      <c r="S329" s="8"/>
    </row>
    <row r="330">
      <c r="S330" s="8"/>
    </row>
    <row r="331">
      <c r="S331" s="8"/>
    </row>
    <row r="332">
      <c r="S332" s="8"/>
    </row>
    <row r="333">
      <c r="S333" s="8"/>
    </row>
    <row r="334">
      <c r="S334" s="8"/>
    </row>
    <row r="335">
      <c r="S335" s="8"/>
    </row>
    <row r="336">
      <c r="S336" s="8"/>
    </row>
    <row r="337">
      <c r="S337" s="8"/>
    </row>
    <row r="338">
      <c r="S338" s="8"/>
    </row>
    <row r="339">
      <c r="S339" s="8"/>
    </row>
    <row r="340">
      <c r="S340" s="8"/>
    </row>
    <row r="341">
      <c r="S341" s="8"/>
    </row>
    <row r="342">
      <c r="S342" s="8"/>
    </row>
    <row r="343">
      <c r="S343" s="8"/>
    </row>
    <row r="344">
      <c r="S344" s="8"/>
    </row>
    <row r="345">
      <c r="S345" s="8"/>
    </row>
    <row r="346">
      <c r="S346" s="8"/>
    </row>
    <row r="347">
      <c r="S347" s="8"/>
    </row>
    <row r="348">
      <c r="S348" s="8"/>
    </row>
    <row r="349">
      <c r="S349" s="8"/>
    </row>
    <row r="350">
      <c r="S350" s="8"/>
    </row>
    <row r="351">
      <c r="S351" s="8"/>
    </row>
    <row r="352">
      <c r="S352" s="8"/>
    </row>
    <row r="353">
      <c r="S353" s="8"/>
    </row>
    <row r="354">
      <c r="S354" s="8"/>
    </row>
    <row r="355">
      <c r="S355" s="8"/>
    </row>
    <row r="356">
      <c r="S356" s="8"/>
    </row>
    <row r="357">
      <c r="S357" s="8"/>
    </row>
    <row r="358">
      <c r="S358" s="8"/>
    </row>
    <row r="359">
      <c r="S359" s="8"/>
    </row>
    <row r="360">
      <c r="S360" s="8"/>
    </row>
    <row r="361">
      <c r="S361" s="8"/>
    </row>
    <row r="362">
      <c r="S362" s="8"/>
    </row>
    <row r="363">
      <c r="S363" s="8"/>
    </row>
    <row r="364">
      <c r="S364" s="8"/>
    </row>
    <row r="365">
      <c r="S365" s="8"/>
    </row>
    <row r="366">
      <c r="S366" s="8"/>
    </row>
    <row r="367">
      <c r="S367" s="8"/>
    </row>
    <row r="368">
      <c r="S368" s="8"/>
    </row>
    <row r="369">
      <c r="S369" s="8"/>
    </row>
    <row r="370">
      <c r="S370" s="8"/>
    </row>
    <row r="371">
      <c r="S371" s="8"/>
    </row>
    <row r="372">
      <c r="S372" s="8"/>
    </row>
    <row r="373">
      <c r="S373" s="8"/>
    </row>
    <row r="374">
      <c r="S374" s="8"/>
    </row>
    <row r="375">
      <c r="S375" s="8"/>
    </row>
    <row r="376">
      <c r="S376" s="8"/>
    </row>
    <row r="377">
      <c r="S377" s="8"/>
    </row>
    <row r="378">
      <c r="S378" s="8"/>
    </row>
    <row r="379">
      <c r="S379" s="8"/>
    </row>
    <row r="380">
      <c r="S380" s="8"/>
    </row>
    <row r="381">
      <c r="S381" s="8"/>
    </row>
    <row r="382">
      <c r="S382" s="8"/>
    </row>
    <row r="383">
      <c r="S383" s="8"/>
    </row>
    <row r="384">
      <c r="S384" s="8"/>
    </row>
    <row r="385">
      <c r="S385" s="8"/>
    </row>
    <row r="386">
      <c r="S386" s="8"/>
    </row>
    <row r="387">
      <c r="S387" s="8"/>
    </row>
    <row r="388">
      <c r="S388" s="8"/>
    </row>
    <row r="389">
      <c r="S389" s="8"/>
    </row>
    <row r="390">
      <c r="S390" s="8"/>
    </row>
    <row r="391">
      <c r="S391" s="8"/>
    </row>
    <row r="392">
      <c r="S392" s="8"/>
    </row>
    <row r="393">
      <c r="S393" s="8"/>
    </row>
    <row r="394">
      <c r="S394" s="8"/>
    </row>
    <row r="395">
      <c r="S395" s="8"/>
    </row>
    <row r="396">
      <c r="S396" s="8"/>
    </row>
    <row r="397">
      <c r="S397" s="8"/>
    </row>
    <row r="398">
      <c r="S398" s="8"/>
    </row>
    <row r="399">
      <c r="S399" s="8"/>
    </row>
    <row r="400">
      <c r="S400" s="8"/>
    </row>
    <row r="401">
      <c r="S401" s="8"/>
    </row>
    <row r="402">
      <c r="S402" s="8"/>
    </row>
    <row r="403">
      <c r="S403" s="8"/>
    </row>
    <row r="404">
      <c r="S404" s="8"/>
    </row>
    <row r="405">
      <c r="S405" s="8"/>
    </row>
    <row r="406">
      <c r="S406" s="8"/>
    </row>
    <row r="407">
      <c r="S407" s="8"/>
    </row>
    <row r="408">
      <c r="S408" s="8"/>
    </row>
    <row r="409">
      <c r="S409" s="8"/>
    </row>
    <row r="410">
      <c r="S410" s="8"/>
    </row>
    <row r="411">
      <c r="S411" s="8"/>
    </row>
    <row r="412">
      <c r="S412" s="8"/>
    </row>
    <row r="413">
      <c r="S413" s="8"/>
    </row>
    <row r="414">
      <c r="S414" s="8"/>
    </row>
    <row r="415">
      <c r="S415" s="8"/>
    </row>
    <row r="416">
      <c r="S416" s="8"/>
    </row>
    <row r="417">
      <c r="S417" s="8"/>
    </row>
    <row r="418">
      <c r="S418" s="8"/>
    </row>
    <row r="419">
      <c r="S419" s="8"/>
    </row>
    <row r="420">
      <c r="S420" s="8"/>
    </row>
    <row r="421">
      <c r="S421" s="8"/>
    </row>
    <row r="422">
      <c r="S422" s="8"/>
    </row>
    <row r="423">
      <c r="S423" s="8"/>
    </row>
    <row r="424">
      <c r="S424" s="8"/>
    </row>
    <row r="425">
      <c r="S425" s="8"/>
    </row>
    <row r="426">
      <c r="S426" s="8"/>
    </row>
    <row r="427">
      <c r="S427" s="8"/>
    </row>
    <row r="428">
      <c r="S428" s="8"/>
    </row>
    <row r="429">
      <c r="S429" s="8"/>
    </row>
    <row r="430">
      <c r="S430" s="8"/>
    </row>
    <row r="431">
      <c r="S431" s="8"/>
    </row>
    <row r="432">
      <c r="S432" s="8"/>
    </row>
    <row r="433">
      <c r="S433" s="8"/>
    </row>
    <row r="434">
      <c r="S434" s="8"/>
    </row>
    <row r="435">
      <c r="S435" s="8"/>
    </row>
    <row r="436">
      <c r="S436" s="8"/>
    </row>
    <row r="437">
      <c r="S437" s="8"/>
    </row>
    <row r="438">
      <c r="S438" s="8"/>
    </row>
    <row r="439">
      <c r="S439" s="8"/>
    </row>
    <row r="440">
      <c r="S440" s="8"/>
    </row>
    <row r="441">
      <c r="S441" s="8"/>
    </row>
    <row r="442">
      <c r="S442" s="8"/>
    </row>
    <row r="443">
      <c r="S443" s="8"/>
    </row>
    <row r="444">
      <c r="S444" s="8"/>
    </row>
    <row r="445">
      <c r="S445" s="8"/>
    </row>
    <row r="446">
      <c r="S446" s="8"/>
    </row>
    <row r="447">
      <c r="S447" s="8"/>
    </row>
    <row r="448">
      <c r="S448" s="8"/>
    </row>
    <row r="449">
      <c r="S449" s="8"/>
    </row>
    <row r="450">
      <c r="S450" s="8"/>
    </row>
    <row r="451">
      <c r="S451" s="8"/>
    </row>
    <row r="452">
      <c r="S452" s="8"/>
    </row>
    <row r="453">
      <c r="S453" s="8"/>
    </row>
    <row r="454">
      <c r="S454" s="8"/>
    </row>
    <row r="455">
      <c r="S455" s="8"/>
    </row>
    <row r="456">
      <c r="S456" s="8"/>
    </row>
    <row r="457">
      <c r="S457" s="8"/>
    </row>
    <row r="458">
      <c r="S458" s="8"/>
    </row>
    <row r="459">
      <c r="S459" s="8"/>
    </row>
    <row r="460">
      <c r="S460" s="8"/>
    </row>
    <row r="461">
      <c r="S461" s="8"/>
    </row>
    <row r="462">
      <c r="S462" s="8"/>
    </row>
    <row r="463">
      <c r="S463" s="8"/>
    </row>
    <row r="464">
      <c r="S464" s="8"/>
    </row>
    <row r="465">
      <c r="S465" s="8"/>
    </row>
    <row r="466">
      <c r="S466" s="8"/>
    </row>
    <row r="467">
      <c r="S467" s="8"/>
    </row>
    <row r="468">
      <c r="S468" s="8"/>
    </row>
    <row r="469">
      <c r="S469" s="8"/>
    </row>
    <row r="470">
      <c r="S470" s="8"/>
    </row>
    <row r="471">
      <c r="S471" s="8"/>
    </row>
    <row r="472">
      <c r="S472" s="8"/>
    </row>
    <row r="473">
      <c r="S473" s="8"/>
    </row>
    <row r="474">
      <c r="S474" s="8"/>
    </row>
    <row r="475">
      <c r="S475" s="8"/>
    </row>
    <row r="476">
      <c r="S476" s="8"/>
    </row>
    <row r="477">
      <c r="S477" s="8"/>
    </row>
    <row r="478">
      <c r="S478" s="8"/>
    </row>
    <row r="479">
      <c r="S479" s="8"/>
    </row>
    <row r="480">
      <c r="S480" s="8"/>
    </row>
    <row r="481">
      <c r="S481" s="8"/>
    </row>
    <row r="482">
      <c r="S482" s="8"/>
    </row>
    <row r="483">
      <c r="S483" s="8"/>
    </row>
    <row r="484">
      <c r="S484" s="8"/>
    </row>
    <row r="485">
      <c r="S485" s="8"/>
    </row>
    <row r="486">
      <c r="S486" s="8"/>
    </row>
    <row r="487">
      <c r="S487" s="8"/>
    </row>
    <row r="488">
      <c r="S488" s="8"/>
    </row>
    <row r="489">
      <c r="S489" s="8"/>
    </row>
    <row r="490">
      <c r="S490" s="8"/>
    </row>
    <row r="491">
      <c r="S491" s="8"/>
    </row>
    <row r="492">
      <c r="S492" s="8"/>
    </row>
    <row r="493">
      <c r="S493" s="8"/>
    </row>
    <row r="494">
      <c r="S494" s="8"/>
    </row>
    <row r="495">
      <c r="S495" s="8"/>
    </row>
    <row r="496">
      <c r="S496" s="8"/>
    </row>
    <row r="497">
      <c r="S497" s="8"/>
    </row>
    <row r="498">
      <c r="S498" s="8"/>
    </row>
    <row r="499">
      <c r="S499" s="8"/>
    </row>
    <row r="500">
      <c r="S500" s="8"/>
    </row>
    <row r="501">
      <c r="S501" s="8"/>
    </row>
    <row r="502">
      <c r="S502" s="8"/>
    </row>
    <row r="503">
      <c r="S503" s="8"/>
    </row>
    <row r="504">
      <c r="S504" s="8"/>
    </row>
    <row r="505">
      <c r="S505" s="8"/>
    </row>
    <row r="506">
      <c r="S506" s="8"/>
    </row>
    <row r="507">
      <c r="S507" s="8"/>
    </row>
    <row r="508">
      <c r="S508" s="8"/>
    </row>
    <row r="509">
      <c r="S509" s="8"/>
    </row>
    <row r="510">
      <c r="S510" s="8"/>
    </row>
    <row r="511">
      <c r="S511" s="8"/>
    </row>
    <row r="512">
      <c r="S512" s="8"/>
    </row>
    <row r="513">
      <c r="S513" s="8"/>
    </row>
    <row r="514">
      <c r="S514" s="8"/>
    </row>
    <row r="515">
      <c r="S515" s="8"/>
    </row>
    <row r="516">
      <c r="S516" s="8"/>
    </row>
    <row r="517">
      <c r="S517" s="8"/>
    </row>
    <row r="518">
      <c r="S518" s="8"/>
    </row>
    <row r="519">
      <c r="S519" s="8"/>
    </row>
    <row r="520">
      <c r="S520" s="8"/>
    </row>
    <row r="521">
      <c r="S521" s="8"/>
    </row>
    <row r="522">
      <c r="S522" s="8"/>
    </row>
    <row r="523">
      <c r="S523" s="8"/>
    </row>
    <row r="524">
      <c r="S524" s="8"/>
    </row>
    <row r="525">
      <c r="S525" s="8"/>
    </row>
    <row r="526">
      <c r="S526" s="8"/>
    </row>
    <row r="527">
      <c r="S527" s="8"/>
    </row>
    <row r="528">
      <c r="S528" s="8"/>
    </row>
    <row r="529">
      <c r="S529" s="8"/>
    </row>
    <row r="530">
      <c r="S530" s="8"/>
    </row>
    <row r="531">
      <c r="S531" s="8"/>
    </row>
    <row r="532">
      <c r="S532" s="8"/>
    </row>
    <row r="533">
      <c r="S533" s="8"/>
    </row>
    <row r="534">
      <c r="S534" s="8"/>
    </row>
    <row r="535">
      <c r="S535" s="8"/>
    </row>
    <row r="536">
      <c r="S536" s="8"/>
    </row>
    <row r="537">
      <c r="S537" s="8"/>
    </row>
    <row r="538">
      <c r="S538" s="8"/>
    </row>
    <row r="539">
      <c r="S539" s="8"/>
    </row>
    <row r="540">
      <c r="S540" s="8"/>
    </row>
    <row r="541">
      <c r="S541" s="8"/>
    </row>
    <row r="542">
      <c r="S542" s="8"/>
    </row>
    <row r="543">
      <c r="S543" s="8"/>
    </row>
    <row r="544">
      <c r="S544" s="8"/>
    </row>
    <row r="545">
      <c r="S545" s="8"/>
    </row>
    <row r="546">
      <c r="S546" s="8"/>
    </row>
    <row r="547">
      <c r="S547" s="8"/>
    </row>
    <row r="548">
      <c r="S548" s="8"/>
    </row>
    <row r="549">
      <c r="S549" s="8"/>
    </row>
    <row r="550">
      <c r="S550" s="8"/>
    </row>
    <row r="551">
      <c r="S551" s="8"/>
    </row>
    <row r="552">
      <c r="S552" s="8"/>
    </row>
    <row r="553">
      <c r="S553" s="8"/>
    </row>
    <row r="554">
      <c r="S554" s="8"/>
    </row>
    <row r="555">
      <c r="S555" s="8"/>
    </row>
    <row r="556">
      <c r="S556" s="8"/>
    </row>
    <row r="557">
      <c r="S557" s="8"/>
    </row>
    <row r="558">
      <c r="S558" s="8"/>
    </row>
    <row r="559">
      <c r="S559" s="8"/>
    </row>
    <row r="560">
      <c r="S560" s="8"/>
    </row>
    <row r="561">
      <c r="S561" s="8"/>
    </row>
    <row r="562">
      <c r="S562" s="8"/>
    </row>
    <row r="563">
      <c r="S563" s="8"/>
    </row>
    <row r="564">
      <c r="S564" s="8"/>
    </row>
    <row r="565">
      <c r="S565" s="8"/>
    </row>
    <row r="566">
      <c r="S566" s="8"/>
    </row>
    <row r="567">
      <c r="S567" s="8"/>
    </row>
    <row r="568">
      <c r="S568" s="8"/>
    </row>
    <row r="569">
      <c r="S569" s="8"/>
    </row>
    <row r="570">
      <c r="S570" s="8"/>
    </row>
    <row r="571">
      <c r="S571" s="8"/>
    </row>
    <row r="572">
      <c r="S572" s="8"/>
    </row>
    <row r="573">
      <c r="S573" s="8"/>
    </row>
    <row r="574">
      <c r="S574" s="8"/>
    </row>
    <row r="575">
      <c r="S575" s="8"/>
    </row>
    <row r="576">
      <c r="S576" s="8"/>
    </row>
    <row r="577">
      <c r="S577" s="8"/>
    </row>
    <row r="578">
      <c r="S578" s="8"/>
    </row>
    <row r="579">
      <c r="S579" s="8"/>
    </row>
    <row r="580">
      <c r="S580" s="8"/>
    </row>
    <row r="581">
      <c r="S581" s="8"/>
    </row>
    <row r="582">
      <c r="S582" s="8"/>
    </row>
    <row r="583">
      <c r="S583" s="8"/>
    </row>
    <row r="584">
      <c r="S584" s="8"/>
    </row>
    <row r="585">
      <c r="S585" s="8"/>
    </row>
    <row r="586">
      <c r="S586" s="8"/>
    </row>
    <row r="587">
      <c r="S587" s="8"/>
    </row>
    <row r="588">
      <c r="S588" s="8"/>
    </row>
    <row r="589">
      <c r="S589" s="8"/>
    </row>
    <row r="590">
      <c r="S590" s="8"/>
    </row>
    <row r="591">
      <c r="S591" s="8"/>
    </row>
    <row r="592">
      <c r="S592" s="8"/>
    </row>
    <row r="593">
      <c r="S593" s="8"/>
    </row>
    <row r="594">
      <c r="S594" s="8"/>
    </row>
    <row r="595">
      <c r="S595" s="8"/>
    </row>
    <row r="596">
      <c r="S596" s="8"/>
    </row>
    <row r="597">
      <c r="S597" s="8"/>
    </row>
    <row r="598">
      <c r="S598" s="8"/>
    </row>
    <row r="599">
      <c r="S599" s="8"/>
    </row>
    <row r="600">
      <c r="S600" s="8"/>
    </row>
    <row r="601">
      <c r="S601" s="8"/>
    </row>
    <row r="602">
      <c r="S602" s="8"/>
    </row>
    <row r="603">
      <c r="S603" s="8"/>
    </row>
    <row r="604">
      <c r="S604" s="8"/>
    </row>
    <row r="605">
      <c r="S605" s="8"/>
    </row>
    <row r="606">
      <c r="S606" s="8"/>
    </row>
    <row r="607">
      <c r="S607" s="8"/>
    </row>
    <row r="608">
      <c r="S608" s="8"/>
    </row>
    <row r="609">
      <c r="S609" s="8"/>
    </row>
    <row r="610">
      <c r="S610" s="8"/>
    </row>
    <row r="611">
      <c r="S611" s="8"/>
    </row>
    <row r="612">
      <c r="S612" s="8"/>
    </row>
    <row r="613">
      <c r="S613" s="8"/>
    </row>
    <row r="614">
      <c r="S614" s="8"/>
    </row>
    <row r="615">
      <c r="S615" s="8"/>
    </row>
    <row r="616">
      <c r="S616" s="8"/>
    </row>
    <row r="617">
      <c r="S617" s="8"/>
    </row>
    <row r="618">
      <c r="S618" s="8"/>
    </row>
    <row r="619">
      <c r="S619" s="8"/>
    </row>
    <row r="620">
      <c r="S620" s="8"/>
    </row>
    <row r="621">
      <c r="S621" s="8"/>
    </row>
    <row r="622">
      <c r="S622" s="8"/>
    </row>
    <row r="623">
      <c r="S623" s="8"/>
    </row>
    <row r="624">
      <c r="S624" s="8"/>
    </row>
    <row r="625">
      <c r="S625" s="8"/>
    </row>
    <row r="626">
      <c r="S626" s="8"/>
    </row>
    <row r="627">
      <c r="S627" s="8"/>
    </row>
    <row r="628">
      <c r="S628" s="8"/>
    </row>
    <row r="629">
      <c r="S629" s="8"/>
    </row>
    <row r="630">
      <c r="S630" s="8"/>
    </row>
    <row r="631">
      <c r="S631" s="8"/>
    </row>
    <row r="632">
      <c r="S632" s="8"/>
    </row>
    <row r="633">
      <c r="S633" s="8"/>
    </row>
    <row r="634">
      <c r="S634" s="8"/>
    </row>
    <row r="635">
      <c r="S635" s="8"/>
    </row>
    <row r="636">
      <c r="S636" s="8"/>
    </row>
    <row r="637">
      <c r="S637" s="8"/>
    </row>
    <row r="638">
      <c r="S638" s="8"/>
    </row>
    <row r="639">
      <c r="S639" s="8"/>
    </row>
    <row r="640">
      <c r="S640" s="8"/>
    </row>
    <row r="641">
      <c r="S641" s="8"/>
    </row>
    <row r="642">
      <c r="S642" s="8"/>
    </row>
    <row r="643">
      <c r="S643" s="8"/>
    </row>
    <row r="644">
      <c r="S644" s="8"/>
    </row>
    <row r="645">
      <c r="S645" s="8"/>
    </row>
    <row r="646">
      <c r="S646" s="8"/>
    </row>
    <row r="647">
      <c r="S647" s="8"/>
    </row>
    <row r="648">
      <c r="S648" s="8"/>
    </row>
    <row r="649">
      <c r="S649" s="8"/>
    </row>
    <row r="650">
      <c r="S650" s="8"/>
    </row>
    <row r="651">
      <c r="S651" s="8"/>
    </row>
    <row r="652">
      <c r="S652" s="8"/>
    </row>
    <row r="653">
      <c r="S653" s="8"/>
    </row>
    <row r="654">
      <c r="S654" s="8"/>
    </row>
    <row r="655">
      <c r="S655" s="8"/>
    </row>
    <row r="656">
      <c r="S656" s="8"/>
    </row>
    <row r="657">
      <c r="S657" s="8"/>
    </row>
    <row r="658">
      <c r="S658" s="8"/>
    </row>
    <row r="659">
      <c r="S659" s="8"/>
    </row>
    <row r="660">
      <c r="S660" s="8"/>
    </row>
    <row r="661">
      <c r="S661" s="8"/>
    </row>
    <row r="662">
      <c r="S662" s="8"/>
    </row>
    <row r="663">
      <c r="S663" s="8"/>
    </row>
    <row r="664">
      <c r="S664" s="8"/>
    </row>
    <row r="665">
      <c r="S665" s="8"/>
    </row>
    <row r="666">
      <c r="S666" s="8"/>
    </row>
    <row r="667">
      <c r="S667" s="8"/>
    </row>
    <row r="668">
      <c r="S668" s="8"/>
    </row>
    <row r="669">
      <c r="S669" s="8"/>
    </row>
    <row r="670">
      <c r="S670" s="8"/>
    </row>
    <row r="671">
      <c r="S671" s="8"/>
    </row>
    <row r="672">
      <c r="S672" s="8"/>
    </row>
    <row r="673">
      <c r="S673" s="8"/>
    </row>
    <row r="674">
      <c r="S674" s="8"/>
    </row>
    <row r="675">
      <c r="S675" s="8"/>
    </row>
    <row r="676">
      <c r="S676" s="8"/>
    </row>
    <row r="677">
      <c r="S677" s="8"/>
    </row>
    <row r="678">
      <c r="S678" s="8"/>
    </row>
    <row r="679">
      <c r="S679" s="8"/>
    </row>
    <row r="680">
      <c r="S680" s="8"/>
    </row>
    <row r="681">
      <c r="S681" s="8"/>
    </row>
    <row r="682">
      <c r="S682" s="8"/>
    </row>
    <row r="683">
      <c r="S683" s="8"/>
    </row>
    <row r="684">
      <c r="S684" s="8"/>
    </row>
    <row r="685">
      <c r="S685" s="8"/>
    </row>
    <row r="686">
      <c r="S686" s="8"/>
    </row>
    <row r="687">
      <c r="S687" s="8"/>
    </row>
    <row r="688">
      <c r="S688" s="8"/>
    </row>
    <row r="689">
      <c r="S689" s="8"/>
    </row>
    <row r="690">
      <c r="S690" s="8"/>
    </row>
    <row r="691">
      <c r="S691" s="8"/>
    </row>
    <row r="692">
      <c r="S692" s="8"/>
    </row>
    <row r="693">
      <c r="S693" s="8"/>
    </row>
    <row r="694">
      <c r="S694" s="8"/>
    </row>
    <row r="695">
      <c r="S695" s="8"/>
    </row>
    <row r="696">
      <c r="S696" s="8"/>
    </row>
    <row r="697">
      <c r="S697" s="8"/>
    </row>
    <row r="698">
      <c r="S698" s="8"/>
    </row>
    <row r="699">
      <c r="S699" s="8"/>
    </row>
    <row r="700">
      <c r="S700" s="8"/>
    </row>
    <row r="701">
      <c r="S701" s="8"/>
    </row>
    <row r="702">
      <c r="S702" s="8"/>
    </row>
    <row r="703">
      <c r="S703" s="8"/>
    </row>
    <row r="704">
      <c r="S704" s="8"/>
    </row>
    <row r="705">
      <c r="S705" s="8"/>
    </row>
    <row r="706">
      <c r="S706" s="8"/>
    </row>
    <row r="707">
      <c r="S707" s="8"/>
    </row>
    <row r="708">
      <c r="S708" s="8"/>
    </row>
    <row r="709">
      <c r="S709" s="8"/>
    </row>
    <row r="710">
      <c r="S710" s="8"/>
    </row>
    <row r="711">
      <c r="S711" s="8"/>
    </row>
    <row r="712">
      <c r="S712" s="8"/>
    </row>
    <row r="713">
      <c r="S713" s="8"/>
    </row>
    <row r="714">
      <c r="S714" s="8"/>
    </row>
    <row r="715">
      <c r="S715" s="8"/>
    </row>
    <row r="716">
      <c r="S716" s="8"/>
    </row>
    <row r="717">
      <c r="S717" s="8"/>
    </row>
    <row r="718">
      <c r="S718" s="8"/>
    </row>
    <row r="719">
      <c r="S719" s="8"/>
    </row>
    <row r="720">
      <c r="S720" s="8"/>
    </row>
    <row r="721">
      <c r="S721" s="8"/>
    </row>
    <row r="722">
      <c r="S722" s="8"/>
    </row>
    <row r="723">
      <c r="S723" s="8"/>
    </row>
    <row r="724">
      <c r="S724" s="8"/>
    </row>
    <row r="725">
      <c r="S725" s="8"/>
    </row>
    <row r="726">
      <c r="S726" s="8"/>
    </row>
    <row r="727">
      <c r="S727" s="8"/>
    </row>
    <row r="728">
      <c r="S728" s="8"/>
    </row>
    <row r="729">
      <c r="S729" s="8"/>
    </row>
    <row r="730">
      <c r="S730" s="8"/>
    </row>
    <row r="731">
      <c r="S731" s="8"/>
    </row>
    <row r="732">
      <c r="S732" s="8"/>
    </row>
    <row r="733">
      <c r="S733" s="8"/>
    </row>
    <row r="734">
      <c r="S734" s="8"/>
    </row>
    <row r="735">
      <c r="S735" s="8"/>
    </row>
    <row r="736">
      <c r="S736" s="8"/>
    </row>
    <row r="737">
      <c r="S737" s="8"/>
    </row>
    <row r="738">
      <c r="S738" s="8"/>
    </row>
    <row r="739">
      <c r="S739" s="8"/>
    </row>
    <row r="740">
      <c r="S740" s="8"/>
    </row>
    <row r="741">
      <c r="S741" s="8"/>
    </row>
    <row r="742">
      <c r="S742" s="8"/>
    </row>
    <row r="743">
      <c r="S743" s="8"/>
    </row>
    <row r="744">
      <c r="S744" s="8"/>
    </row>
    <row r="745">
      <c r="S745" s="8"/>
    </row>
    <row r="746">
      <c r="S746" s="8"/>
    </row>
    <row r="747">
      <c r="S747" s="8"/>
    </row>
    <row r="748">
      <c r="S748" s="8"/>
    </row>
    <row r="749">
      <c r="S749" s="8"/>
    </row>
    <row r="750">
      <c r="S750" s="8"/>
    </row>
    <row r="751">
      <c r="S751" s="8"/>
    </row>
    <row r="752">
      <c r="S752" s="8"/>
    </row>
    <row r="753">
      <c r="S753" s="8"/>
    </row>
    <row r="754">
      <c r="S754" s="8"/>
    </row>
    <row r="755">
      <c r="S755" s="8"/>
    </row>
    <row r="756">
      <c r="S756" s="8"/>
    </row>
    <row r="757">
      <c r="S757" s="8"/>
    </row>
    <row r="758">
      <c r="S758" s="8"/>
    </row>
    <row r="759">
      <c r="S759" s="8"/>
    </row>
    <row r="760">
      <c r="S760" s="8"/>
    </row>
    <row r="761">
      <c r="S761" s="8"/>
    </row>
    <row r="762">
      <c r="S762" s="8"/>
    </row>
    <row r="763">
      <c r="S763" s="8"/>
    </row>
    <row r="764">
      <c r="S764" s="8"/>
    </row>
    <row r="765">
      <c r="S765" s="8"/>
    </row>
    <row r="766">
      <c r="S766" s="8"/>
    </row>
    <row r="767">
      <c r="S767" s="8"/>
    </row>
    <row r="768">
      <c r="S768" s="8"/>
    </row>
    <row r="769">
      <c r="S769" s="8"/>
    </row>
    <row r="770">
      <c r="S770" s="8"/>
    </row>
    <row r="771">
      <c r="S771" s="8"/>
    </row>
    <row r="772">
      <c r="S772" s="8"/>
    </row>
    <row r="773">
      <c r="S773" s="8"/>
    </row>
    <row r="774">
      <c r="S774" s="8"/>
    </row>
    <row r="775">
      <c r="S775" s="8"/>
    </row>
    <row r="776">
      <c r="S776" s="8"/>
    </row>
    <row r="777">
      <c r="S777" s="8"/>
    </row>
    <row r="778">
      <c r="S778" s="8"/>
    </row>
    <row r="779">
      <c r="S779" s="8"/>
    </row>
    <row r="780">
      <c r="S780" s="8"/>
    </row>
    <row r="781">
      <c r="S781" s="8"/>
    </row>
    <row r="782">
      <c r="S782" s="8"/>
    </row>
    <row r="783">
      <c r="S783" s="8"/>
    </row>
    <row r="784">
      <c r="S784" s="8"/>
    </row>
    <row r="785">
      <c r="S785" s="8"/>
    </row>
    <row r="786">
      <c r="S786" s="8"/>
    </row>
    <row r="787">
      <c r="S787" s="8"/>
    </row>
    <row r="788">
      <c r="S788" s="8"/>
    </row>
    <row r="789">
      <c r="S789" s="8"/>
    </row>
    <row r="790">
      <c r="S790" s="8"/>
    </row>
    <row r="791">
      <c r="S791" s="8"/>
    </row>
    <row r="792">
      <c r="S792" s="8"/>
    </row>
    <row r="793">
      <c r="S793" s="8"/>
    </row>
    <row r="794">
      <c r="S794" s="8"/>
    </row>
    <row r="795">
      <c r="S795" s="8"/>
    </row>
    <row r="796">
      <c r="S796" s="8"/>
    </row>
    <row r="797">
      <c r="S797" s="8"/>
    </row>
    <row r="798">
      <c r="S798" s="8"/>
    </row>
    <row r="799">
      <c r="S799" s="8"/>
    </row>
    <row r="800">
      <c r="S800" s="8"/>
    </row>
    <row r="801">
      <c r="S801" s="8"/>
    </row>
    <row r="802">
      <c r="S802" s="8"/>
    </row>
    <row r="803">
      <c r="S803" s="8"/>
    </row>
    <row r="804">
      <c r="S804" s="8"/>
    </row>
    <row r="805">
      <c r="S805" s="8"/>
    </row>
    <row r="806">
      <c r="S806" s="8"/>
    </row>
    <row r="807">
      <c r="S807" s="8"/>
    </row>
    <row r="808">
      <c r="S808" s="8"/>
    </row>
    <row r="809">
      <c r="S809" s="8"/>
    </row>
    <row r="810">
      <c r="S810" s="8"/>
    </row>
    <row r="811">
      <c r="S811" s="8"/>
    </row>
    <row r="812">
      <c r="S812" s="8"/>
    </row>
    <row r="813">
      <c r="S813" s="8"/>
    </row>
    <row r="814">
      <c r="S814" s="8"/>
    </row>
    <row r="815">
      <c r="S815" s="8"/>
    </row>
    <row r="816">
      <c r="S816" s="8"/>
    </row>
    <row r="817">
      <c r="S817" s="8"/>
    </row>
    <row r="818">
      <c r="S818" s="8"/>
    </row>
    <row r="819">
      <c r="S819" s="8"/>
    </row>
    <row r="820">
      <c r="S820" s="8"/>
    </row>
    <row r="821">
      <c r="S821" s="8"/>
    </row>
    <row r="822">
      <c r="S822" s="8"/>
    </row>
    <row r="823">
      <c r="S823" s="8"/>
    </row>
    <row r="824">
      <c r="S824" s="8"/>
    </row>
    <row r="825">
      <c r="S825" s="8"/>
    </row>
    <row r="826">
      <c r="S826" s="8"/>
    </row>
    <row r="827">
      <c r="S827" s="8"/>
    </row>
    <row r="828">
      <c r="S828" s="8"/>
    </row>
    <row r="829">
      <c r="S829" s="8"/>
    </row>
    <row r="830">
      <c r="S830" s="8"/>
    </row>
    <row r="831">
      <c r="S831" s="8"/>
    </row>
    <row r="832">
      <c r="S832" s="8"/>
    </row>
    <row r="833">
      <c r="S833" s="8"/>
    </row>
    <row r="834">
      <c r="S834" s="8"/>
    </row>
    <row r="835">
      <c r="S835" s="8"/>
    </row>
    <row r="836">
      <c r="S836" s="8"/>
    </row>
    <row r="837">
      <c r="S837" s="8"/>
    </row>
    <row r="838">
      <c r="S838" s="8"/>
    </row>
    <row r="839">
      <c r="S839" s="8"/>
    </row>
    <row r="840">
      <c r="S840" s="8"/>
    </row>
    <row r="841">
      <c r="S841" s="8"/>
    </row>
    <row r="842">
      <c r="S842" s="8"/>
    </row>
    <row r="843">
      <c r="S843" s="8"/>
    </row>
    <row r="844">
      <c r="S844" s="8"/>
    </row>
    <row r="845">
      <c r="S845" s="8"/>
    </row>
    <row r="846">
      <c r="S846" s="8"/>
    </row>
    <row r="847">
      <c r="S847" s="8"/>
    </row>
    <row r="848">
      <c r="S848" s="8"/>
    </row>
    <row r="849">
      <c r="S849" s="8"/>
    </row>
    <row r="850">
      <c r="S850" s="8"/>
    </row>
    <row r="851">
      <c r="S851" s="8"/>
    </row>
    <row r="852">
      <c r="S852" s="8"/>
    </row>
    <row r="853">
      <c r="S853" s="8"/>
    </row>
    <row r="854">
      <c r="S854" s="8"/>
    </row>
    <row r="855">
      <c r="S855" s="8"/>
    </row>
    <row r="856">
      <c r="S856" s="8"/>
    </row>
    <row r="857">
      <c r="S857" s="8"/>
    </row>
    <row r="858">
      <c r="S858" s="8"/>
    </row>
    <row r="859">
      <c r="S859" s="8"/>
    </row>
    <row r="860">
      <c r="S860" s="8"/>
    </row>
    <row r="861">
      <c r="S861" s="8"/>
    </row>
    <row r="862">
      <c r="S862" s="8"/>
    </row>
    <row r="863">
      <c r="S863" s="8"/>
    </row>
    <row r="864">
      <c r="S864" s="8"/>
    </row>
    <row r="865">
      <c r="S865" s="8"/>
    </row>
    <row r="866">
      <c r="S866" s="8"/>
    </row>
    <row r="867">
      <c r="S867" s="8"/>
    </row>
    <row r="868">
      <c r="S868" s="8"/>
    </row>
    <row r="869">
      <c r="S869" s="8"/>
    </row>
    <row r="870">
      <c r="S870" s="8"/>
    </row>
    <row r="871">
      <c r="S871" s="8"/>
    </row>
    <row r="872">
      <c r="S872" s="8"/>
    </row>
    <row r="873">
      <c r="S873" s="8"/>
    </row>
    <row r="874">
      <c r="S874" s="8"/>
    </row>
    <row r="875">
      <c r="S875" s="8"/>
    </row>
    <row r="876">
      <c r="S876" s="8"/>
    </row>
    <row r="877">
      <c r="S877" s="8"/>
    </row>
    <row r="878">
      <c r="S878" s="8"/>
    </row>
    <row r="879">
      <c r="S879" s="8"/>
    </row>
    <row r="880">
      <c r="S880" s="8"/>
    </row>
    <row r="881">
      <c r="S881" s="8"/>
    </row>
    <row r="882">
      <c r="S882" s="8"/>
    </row>
    <row r="883">
      <c r="S883" s="8"/>
    </row>
    <row r="884">
      <c r="S884" s="8"/>
    </row>
    <row r="885">
      <c r="S885" s="8"/>
    </row>
    <row r="886">
      <c r="S886" s="8"/>
    </row>
    <row r="887">
      <c r="S887" s="8"/>
    </row>
    <row r="888">
      <c r="S888" s="8"/>
    </row>
    <row r="889">
      <c r="S889" s="8"/>
    </row>
    <row r="890">
      <c r="S890" s="8"/>
    </row>
    <row r="891">
      <c r="S891" s="8"/>
    </row>
    <row r="892">
      <c r="S892" s="8"/>
    </row>
    <row r="893">
      <c r="S893" s="8"/>
    </row>
    <row r="894">
      <c r="S894" s="8"/>
    </row>
    <row r="895">
      <c r="S895" s="8"/>
    </row>
    <row r="896">
      <c r="S896" s="8"/>
    </row>
    <row r="897">
      <c r="S897" s="8"/>
    </row>
    <row r="898">
      <c r="S898" s="8"/>
    </row>
    <row r="899">
      <c r="S899" s="8"/>
    </row>
    <row r="900">
      <c r="S900" s="8"/>
    </row>
    <row r="901">
      <c r="S901" s="8"/>
    </row>
    <row r="902">
      <c r="S902" s="8"/>
    </row>
    <row r="903">
      <c r="S903" s="8"/>
    </row>
    <row r="904">
      <c r="S904" s="8"/>
    </row>
    <row r="905">
      <c r="S905" s="8"/>
    </row>
    <row r="906">
      <c r="S906" s="8"/>
    </row>
    <row r="907">
      <c r="S907" s="8"/>
    </row>
    <row r="908">
      <c r="S908" s="8"/>
    </row>
    <row r="909">
      <c r="S909" s="8"/>
    </row>
    <row r="910">
      <c r="S910" s="8"/>
    </row>
    <row r="911">
      <c r="S911" s="8"/>
    </row>
    <row r="912">
      <c r="S912" s="8"/>
    </row>
    <row r="913">
      <c r="S913" s="8"/>
    </row>
    <row r="914">
      <c r="S914" s="8"/>
    </row>
    <row r="915">
      <c r="S915" s="8"/>
    </row>
    <row r="916">
      <c r="S916" s="8"/>
    </row>
    <row r="917">
      <c r="S917" s="8"/>
    </row>
    <row r="918">
      <c r="S918" s="8"/>
    </row>
    <row r="919">
      <c r="S919" s="8"/>
    </row>
    <row r="920">
      <c r="S920" s="8"/>
    </row>
    <row r="921">
      <c r="S921" s="8"/>
    </row>
    <row r="922">
      <c r="S922" s="8"/>
    </row>
    <row r="923">
      <c r="S923" s="8"/>
    </row>
    <row r="924">
      <c r="S924" s="8"/>
    </row>
    <row r="925">
      <c r="S925" s="8"/>
    </row>
    <row r="926">
      <c r="S926" s="8"/>
    </row>
    <row r="927">
      <c r="S927" s="8"/>
    </row>
    <row r="928">
      <c r="S928" s="8"/>
    </row>
    <row r="929">
      <c r="S929" s="8"/>
    </row>
    <row r="930">
      <c r="S930" s="8"/>
    </row>
    <row r="931">
      <c r="S931" s="8"/>
    </row>
    <row r="932">
      <c r="S932" s="8"/>
    </row>
    <row r="933">
      <c r="S933" s="8"/>
    </row>
    <row r="934">
      <c r="S934" s="8"/>
    </row>
    <row r="935">
      <c r="S935" s="8"/>
    </row>
    <row r="936">
      <c r="S936" s="8"/>
    </row>
    <row r="937">
      <c r="S937" s="8"/>
    </row>
    <row r="938">
      <c r="S938" s="8"/>
    </row>
    <row r="939">
      <c r="S939" s="8"/>
    </row>
    <row r="940">
      <c r="S940" s="8"/>
    </row>
    <row r="941">
      <c r="S941" s="8"/>
    </row>
    <row r="942">
      <c r="S942" s="8"/>
    </row>
    <row r="943">
      <c r="S943" s="8"/>
    </row>
    <row r="944">
      <c r="S944" s="8"/>
    </row>
    <row r="945">
      <c r="S945" s="8"/>
    </row>
    <row r="946">
      <c r="S946" s="8"/>
    </row>
    <row r="947">
      <c r="S947" s="8"/>
    </row>
    <row r="948">
      <c r="S948" s="8"/>
    </row>
    <row r="949">
      <c r="S949" s="8"/>
    </row>
    <row r="950">
      <c r="S950" s="8"/>
    </row>
    <row r="951">
      <c r="S951" s="8"/>
    </row>
    <row r="952">
      <c r="S952" s="8"/>
    </row>
    <row r="953">
      <c r="S953" s="8"/>
    </row>
    <row r="954">
      <c r="S954" s="8"/>
    </row>
    <row r="955">
      <c r="S955" s="8"/>
    </row>
    <row r="956">
      <c r="S956" s="8"/>
    </row>
    <row r="957">
      <c r="S957" s="8"/>
    </row>
    <row r="958">
      <c r="S958" s="8"/>
    </row>
    <row r="959">
      <c r="S959" s="8"/>
    </row>
    <row r="960">
      <c r="S960" s="8"/>
    </row>
    <row r="961">
      <c r="S961" s="8"/>
    </row>
    <row r="962">
      <c r="S962" s="8"/>
    </row>
    <row r="963">
      <c r="S963" s="8"/>
    </row>
    <row r="964">
      <c r="S964" s="8"/>
    </row>
    <row r="965">
      <c r="S965" s="8"/>
    </row>
    <row r="966">
      <c r="S966" s="8"/>
    </row>
    <row r="967">
      <c r="S967" s="8"/>
    </row>
    <row r="968">
      <c r="S968" s="8"/>
    </row>
    <row r="969">
      <c r="S969" s="8"/>
    </row>
    <row r="970">
      <c r="S970" s="8"/>
    </row>
    <row r="971">
      <c r="S971" s="8"/>
    </row>
    <row r="972">
      <c r="S972" s="8"/>
    </row>
    <row r="973">
      <c r="S973" s="8"/>
    </row>
    <row r="974">
      <c r="S974" s="8"/>
    </row>
    <row r="975">
      <c r="S975" s="8"/>
    </row>
    <row r="976">
      <c r="S976" s="8"/>
    </row>
    <row r="977">
      <c r="S977" s="8"/>
    </row>
    <row r="978">
      <c r="S978" s="8"/>
    </row>
    <row r="979">
      <c r="S979" s="8"/>
    </row>
    <row r="980">
      <c r="S980" s="8"/>
    </row>
    <row r="981">
      <c r="S981" s="8"/>
    </row>
    <row r="982">
      <c r="S982" s="8"/>
    </row>
    <row r="983">
      <c r="S983" s="8"/>
    </row>
    <row r="984">
      <c r="S984" s="8"/>
    </row>
    <row r="985">
      <c r="S985" s="8"/>
    </row>
    <row r="986">
      <c r="S986" s="8"/>
    </row>
    <row r="987">
      <c r="S987" s="8"/>
    </row>
    <row r="988">
      <c r="S988" s="8"/>
    </row>
    <row r="989">
      <c r="S989" s="8"/>
    </row>
    <row r="990">
      <c r="S990" s="8"/>
    </row>
    <row r="991">
      <c r="S991" s="8"/>
    </row>
    <row r="992">
      <c r="S992" s="8"/>
    </row>
    <row r="993">
      <c r="S993" s="8"/>
    </row>
    <row r="994">
      <c r="S994" s="8"/>
    </row>
    <row r="995">
      <c r="S995" s="8"/>
    </row>
    <row r="996">
      <c r="S996" s="8"/>
    </row>
    <row r="997">
      <c r="S997" s="8"/>
    </row>
    <row r="998">
      <c r="S998" s="8"/>
    </row>
    <row r="999">
      <c r="S999" s="8"/>
    </row>
    <row r="1000">
      <c r="S1000" s="8"/>
    </row>
    <row r="1001">
      <c r="S1001" s="8"/>
    </row>
    <row r="1002">
      <c r="S1002" s="8"/>
    </row>
    <row r="1003">
      <c r="S1003" s="8"/>
    </row>
    <row r="1004">
      <c r="S1004" s="8"/>
    </row>
    <row r="1005">
      <c r="S1005" s="8"/>
    </row>
    <row r="1006">
      <c r="S1006" s="8"/>
    </row>
    <row r="1007">
      <c r="S1007" s="8"/>
    </row>
    <row r="1008">
      <c r="S1008" s="8"/>
    </row>
    <row r="1009">
      <c r="S100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4.0"/>
    <col customWidth="1" min="3" max="3" width="21.5"/>
    <col customWidth="1" min="4" max="18" width="4.75"/>
    <col customWidth="1" min="19" max="19" width="10.38"/>
    <col customWidth="1" min="20" max="20" width="11.88"/>
    <col customWidth="1" min="21" max="32" width="10.38"/>
    <col customWidth="1" min="33" max="33" width="11.88"/>
    <col customWidth="1" min="34" max="34" width="22.38"/>
    <col customWidth="1" min="35" max="49" width="4.75"/>
    <col customWidth="1" min="50" max="51" width="10.5"/>
    <col customWidth="1" min="52" max="52" width="11.88"/>
    <col customWidth="1" min="53" max="63" width="10.5"/>
    <col customWidth="1" min="64" max="64" width="11.88"/>
    <col customWidth="1" min="65" max="66" width="24.38"/>
    <col customWidth="1" min="67" max="68" width="27.75"/>
    <col customWidth="1" min="69" max="69" width="15.5"/>
    <col customWidth="1" min="70" max="70" width="13.25"/>
    <col customWidth="1" min="71" max="71" width="15.5"/>
    <col customWidth="1" min="72" max="73" width="29.63"/>
    <col customWidth="1" min="74" max="74" width="15.75"/>
    <col customWidth="1" min="75" max="75" width="15.5"/>
    <col customWidth="1" min="76" max="76" width="21.38"/>
    <col customWidth="1" min="77" max="78" width="24.38"/>
    <col customWidth="1" min="79" max="79" width="29.63"/>
    <col customWidth="1" min="80" max="80" width="26.38"/>
    <col customWidth="1" min="81" max="81" width="6.88"/>
    <col customWidth="1" min="82" max="82" width="18.13"/>
    <col customWidth="1" min="83" max="83" width="13.5"/>
  </cols>
  <sheetData>
    <row r="1">
      <c r="A1" s="67" t="s">
        <v>101</v>
      </c>
      <c r="B1" s="67" t="s">
        <v>102</v>
      </c>
      <c r="C1" s="1" t="s">
        <v>103</v>
      </c>
      <c r="D1" s="67" t="s">
        <v>104</v>
      </c>
      <c r="E1" s="67" t="s">
        <v>105</v>
      </c>
      <c r="F1" s="67" t="s">
        <v>106</v>
      </c>
      <c r="G1" s="67" t="s">
        <v>107</v>
      </c>
      <c r="H1" s="67" t="s">
        <v>108</v>
      </c>
      <c r="I1" s="67" t="s">
        <v>109</v>
      </c>
      <c r="J1" s="67" t="s">
        <v>110</v>
      </c>
      <c r="K1" s="67" t="s">
        <v>111</v>
      </c>
      <c r="L1" s="67" t="s">
        <v>112</v>
      </c>
      <c r="M1" s="67" t="s">
        <v>113</v>
      </c>
      <c r="N1" s="67" t="s">
        <v>114</v>
      </c>
      <c r="O1" s="67" t="s">
        <v>115</v>
      </c>
      <c r="P1" s="67" t="s">
        <v>116</v>
      </c>
      <c r="Q1" s="67" t="s">
        <v>117</v>
      </c>
      <c r="R1" s="67" t="s">
        <v>118</v>
      </c>
      <c r="S1" s="67" t="s">
        <v>104</v>
      </c>
      <c r="T1" s="67" t="s">
        <v>105</v>
      </c>
      <c r="U1" s="67" t="s">
        <v>106</v>
      </c>
      <c r="V1" s="67" t="s">
        <v>107</v>
      </c>
      <c r="W1" s="67" t="s">
        <v>108</v>
      </c>
      <c r="X1" s="67" t="s">
        <v>109</v>
      </c>
      <c r="Y1" s="67" t="s">
        <v>110</v>
      </c>
      <c r="Z1" s="67" t="s">
        <v>111</v>
      </c>
      <c r="AA1" s="67" t="s">
        <v>112</v>
      </c>
      <c r="AB1" s="67" t="s">
        <v>113</v>
      </c>
      <c r="AC1" s="67" t="s">
        <v>114</v>
      </c>
      <c r="AD1" s="67" t="s">
        <v>115</v>
      </c>
      <c r="AE1" s="67" t="s">
        <v>116</v>
      </c>
      <c r="AF1" s="67" t="s">
        <v>117</v>
      </c>
      <c r="AG1" s="67" t="s">
        <v>118</v>
      </c>
      <c r="AH1" s="68" t="s">
        <v>119</v>
      </c>
      <c r="AI1" s="67" t="s">
        <v>120</v>
      </c>
      <c r="AJ1" s="67" t="s">
        <v>121</v>
      </c>
      <c r="AK1" s="67" t="s">
        <v>122</v>
      </c>
      <c r="AL1" s="67" t="s">
        <v>123</v>
      </c>
      <c r="AM1" s="67" t="s">
        <v>124</v>
      </c>
      <c r="AN1" s="67" t="s">
        <v>125</v>
      </c>
      <c r="AO1" s="67" t="s">
        <v>126</v>
      </c>
      <c r="AP1" s="67" t="s">
        <v>127</v>
      </c>
      <c r="AQ1" s="67" t="s">
        <v>128</v>
      </c>
      <c r="AR1" s="67" t="s">
        <v>129</v>
      </c>
      <c r="AS1" s="67" t="s">
        <v>130</v>
      </c>
      <c r="AT1" s="67" t="s">
        <v>131</v>
      </c>
      <c r="AU1" s="67" t="s">
        <v>132</v>
      </c>
      <c r="AV1" s="67" t="s">
        <v>133</v>
      </c>
      <c r="AW1" s="67" t="s">
        <v>134</v>
      </c>
      <c r="AX1" s="67" t="s">
        <v>120</v>
      </c>
      <c r="AY1" s="67" t="s">
        <v>121</v>
      </c>
      <c r="AZ1" s="67" t="s">
        <v>122</v>
      </c>
      <c r="BA1" s="67" t="s">
        <v>123</v>
      </c>
      <c r="BB1" s="67" t="s">
        <v>124</v>
      </c>
      <c r="BC1" s="67" t="s">
        <v>125</v>
      </c>
      <c r="BD1" s="67" t="s">
        <v>126</v>
      </c>
      <c r="BE1" s="67" t="s">
        <v>127</v>
      </c>
      <c r="BF1" s="67" t="s">
        <v>128</v>
      </c>
      <c r="BG1" s="67" t="s">
        <v>129</v>
      </c>
      <c r="BH1" s="67" t="s">
        <v>130</v>
      </c>
      <c r="BI1" s="67" t="s">
        <v>131</v>
      </c>
      <c r="BJ1" s="67" t="s">
        <v>132</v>
      </c>
      <c r="BK1" s="67" t="s">
        <v>133</v>
      </c>
      <c r="BL1" s="67" t="s">
        <v>134</v>
      </c>
      <c r="BM1" s="67" t="s">
        <v>135</v>
      </c>
      <c r="BN1" s="67" t="s">
        <v>136</v>
      </c>
      <c r="BO1" s="69" t="s">
        <v>137</v>
      </c>
      <c r="BP1" s="69" t="s">
        <v>138</v>
      </c>
      <c r="BQ1" s="69" t="s">
        <v>139</v>
      </c>
      <c r="BR1" s="69" t="s">
        <v>140</v>
      </c>
      <c r="BS1" s="69" t="s">
        <v>141</v>
      </c>
      <c r="BT1" s="69" t="s">
        <v>142</v>
      </c>
      <c r="BU1" s="69" t="s">
        <v>143</v>
      </c>
      <c r="BV1" s="69" t="s">
        <v>144</v>
      </c>
      <c r="BW1" s="67" t="s">
        <v>145</v>
      </c>
      <c r="BX1" s="67" t="s">
        <v>146</v>
      </c>
      <c r="BY1" s="21" t="s">
        <v>140</v>
      </c>
      <c r="BZ1" s="21" t="s">
        <v>141</v>
      </c>
      <c r="CA1" s="21" t="s">
        <v>143</v>
      </c>
      <c r="CB1" s="21" t="s">
        <v>144</v>
      </c>
      <c r="CC1" s="70" t="s">
        <v>147</v>
      </c>
      <c r="CD1" s="70" t="s">
        <v>148</v>
      </c>
      <c r="CE1" s="70" t="s">
        <v>149</v>
      </c>
    </row>
    <row r="2">
      <c r="A2" s="71" t="s">
        <v>30</v>
      </c>
      <c r="B2" s="15">
        <v>1.0</v>
      </c>
      <c r="C2" s="15">
        <v>2.0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77</v>
      </c>
      <c r="I2" s="2" t="s">
        <v>79</v>
      </c>
      <c r="J2" s="2" t="s">
        <v>77</v>
      </c>
      <c r="K2" s="2" t="s">
        <v>78</v>
      </c>
      <c r="L2" s="2" t="s">
        <v>76</v>
      </c>
      <c r="M2" s="2" t="s">
        <v>79</v>
      </c>
      <c r="N2" s="2" t="s">
        <v>76</v>
      </c>
      <c r="O2" s="2" t="s">
        <v>75</v>
      </c>
      <c r="P2" s="2" t="s">
        <v>79</v>
      </c>
      <c r="Q2" s="2" t="s">
        <v>77</v>
      </c>
      <c r="R2" s="2" t="s">
        <v>76</v>
      </c>
      <c r="S2" s="2">
        <f t="shared" ref="S2:AG2" si="1">COLUMN(INDIRECT(D2&amp;4))</f>
        <v>4</v>
      </c>
      <c r="T2" s="2">
        <f t="shared" si="1"/>
        <v>5</v>
      </c>
      <c r="U2" s="2">
        <f t="shared" si="1"/>
        <v>1</v>
      </c>
      <c r="V2" s="2">
        <f t="shared" si="1"/>
        <v>3</v>
      </c>
      <c r="W2" s="2">
        <f t="shared" si="1"/>
        <v>1</v>
      </c>
      <c r="X2" s="2">
        <f t="shared" si="1"/>
        <v>2</v>
      </c>
      <c r="Y2" s="2">
        <f t="shared" si="1"/>
        <v>1</v>
      </c>
      <c r="Z2" s="2">
        <f t="shared" si="1"/>
        <v>3</v>
      </c>
      <c r="AA2" s="2">
        <f t="shared" si="1"/>
        <v>5</v>
      </c>
      <c r="AB2" s="2">
        <f t="shared" si="1"/>
        <v>2</v>
      </c>
      <c r="AC2" s="2">
        <f t="shared" si="1"/>
        <v>5</v>
      </c>
      <c r="AD2" s="2">
        <f t="shared" si="1"/>
        <v>4</v>
      </c>
      <c r="AE2" s="2">
        <f t="shared" si="1"/>
        <v>2</v>
      </c>
      <c r="AF2" s="2">
        <f t="shared" si="1"/>
        <v>1</v>
      </c>
      <c r="AG2" s="2">
        <f t="shared" si="1"/>
        <v>5</v>
      </c>
      <c r="AH2" s="72">
        <v>1.0</v>
      </c>
      <c r="AI2" s="2" t="s">
        <v>77</v>
      </c>
      <c r="AJ2" s="2" t="s">
        <v>79</v>
      </c>
      <c r="AK2" s="2" t="s">
        <v>75</v>
      </c>
      <c r="AL2" s="2" t="s">
        <v>75</v>
      </c>
      <c r="AM2" s="2" t="s">
        <v>78</v>
      </c>
      <c r="AN2" s="2" t="s">
        <v>79</v>
      </c>
      <c r="AO2" s="2" t="s">
        <v>77</v>
      </c>
      <c r="AP2" s="2" t="s">
        <v>79</v>
      </c>
      <c r="AQ2" s="2" t="s">
        <v>77</v>
      </c>
      <c r="AR2" s="2" t="s">
        <v>78</v>
      </c>
      <c r="AS2" s="2" t="s">
        <v>79</v>
      </c>
      <c r="AT2" s="2" t="s">
        <v>75</v>
      </c>
      <c r="AU2" s="2" t="s">
        <v>78</v>
      </c>
      <c r="AV2" s="2" t="s">
        <v>78</v>
      </c>
      <c r="AW2" s="2" t="s">
        <v>77</v>
      </c>
      <c r="AX2" s="73">
        <f t="shared" ref="AX2:BL2" si="2">COLUMN(INDIRECT(AI2&amp;1))</f>
        <v>1</v>
      </c>
      <c r="AY2" s="73">
        <f t="shared" si="2"/>
        <v>2</v>
      </c>
      <c r="AZ2" s="73">
        <f t="shared" si="2"/>
        <v>4</v>
      </c>
      <c r="BA2" s="73">
        <f t="shared" si="2"/>
        <v>4</v>
      </c>
      <c r="BB2" s="73">
        <f t="shared" si="2"/>
        <v>3</v>
      </c>
      <c r="BC2" s="73">
        <f t="shared" si="2"/>
        <v>2</v>
      </c>
      <c r="BD2" s="73">
        <f t="shared" si="2"/>
        <v>1</v>
      </c>
      <c r="BE2" s="73">
        <f t="shared" si="2"/>
        <v>2</v>
      </c>
      <c r="BF2" s="73">
        <f t="shared" si="2"/>
        <v>1</v>
      </c>
      <c r="BG2" s="73">
        <f t="shared" si="2"/>
        <v>3</v>
      </c>
      <c r="BH2" s="73">
        <f t="shared" si="2"/>
        <v>2</v>
      </c>
      <c r="BI2" s="73">
        <f t="shared" si="2"/>
        <v>4</v>
      </c>
      <c r="BJ2" s="73">
        <f t="shared" si="2"/>
        <v>3</v>
      </c>
      <c r="BK2" s="73">
        <f t="shared" si="2"/>
        <v>3</v>
      </c>
      <c r="BL2" s="73">
        <f t="shared" si="2"/>
        <v>1</v>
      </c>
      <c r="BM2" s="73"/>
      <c r="BN2" s="73"/>
      <c r="BO2" s="31"/>
      <c r="BP2" s="31"/>
      <c r="BQ2" s="31"/>
      <c r="BR2" s="31"/>
      <c r="BS2" s="31"/>
      <c r="BT2" s="31"/>
      <c r="BU2" s="31"/>
      <c r="BV2" s="31"/>
      <c r="BW2" s="74"/>
      <c r="BX2" s="74"/>
      <c r="BY2" s="73"/>
      <c r="BZ2" s="73"/>
      <c r="CA2" s="73"/>
      <c r="CB2" s="73"/>
      <c r="CC2" s="32">
        <v>1.0</v>
      </c>
      <c r="CD2" s="33" t="s">
        <v>150</v>
      </c>
      <c r="CE2" s="32" t="s">
        <v>77</v>
      </c>
    </row>
    <row r="3">
      <c r="A3" s="71" t="s">
        <v>32</v>
      </c>
      <c r="B3" s="15">
        <v>1.0</v>
      </c>
      <c r="C3" s="15">
        <v>2.0</v>
      </c>
      <c r="D3" s="2" t="s">
        <v>76</v>
      </c>
      <c r="E3" s="2" t="s">
        <v>75</v>
      </c>
      <c r="F3" s="2" t="s">
        <v>77</v>
      </c>
      <c r="G3" s="2" t="s">
        <v>78</v>
      </c>
      <c r="H3" s="2" t="s">
        <v>77</v>
      </c>
      <c r="I3" s="2" t="s">
        <v>77</v>
      </c>
      <c r="J3" s="2" t="s">
        <v>79</v>
      </c>
      <c r="K3" s="2" t="s">
        <v>78</v>
      </c>
      <c r="L3" s="2" t="s">
        <v>75</v>
      </c>
      <c r="M3" s="2" t="s">
        <v>79</v>
      </c>
      <c r="N3" s="2" t="s">
        <v>76</v>
      </c>
      <c r="O3" s="2" t="s">
        <v>77</v>
      </c>
      <c r="P3" s="2" t="s">
        <v>76</v>
      </c>
      <c r="Q3" s="2" t="s">
        <v>79</v>
      </c>
      <c r="R3" s="2" t="s">
        <v>76</v>
      </c>
      <c r="S3" s="2">
        <f t="shared" ref="S3:AG3" si="3">COLUMN(INDIRECT(D3&amp;4))</f>
        <v>5</v>
      </c>
      <c r="T3" s="2">
        <f t="shared" si="3"/>
        <v>4</v>
      </c>
      <c r="U3" s="2">
        <f t="shared" si="3"/>
        <v>1</v>
      </c>
      <c r="V3" s="2">
        <f t="shared" si="3"/>
        <v>3</v>
      </c>
      <c r="W3" s="2">
        <f t="shared" si="3"/>
        <v>1</v>
      </c>
      <c r="X3" s="2">
        <f t="shared" si="3"/>
        <v>1</v>
      </c>
      <c r="Y3" s="2">
        <f t="shared" si="3"/>
        <v>2</v>
      </c>
      <c r="Z3" s="2">
        <f t="shared" si="3"/>
        <v>3</v>
      </c>
      <c r="AA3" s="2">
        <f t="shared" si="3"/>
        <v>4</v>
      </c>
      <c r="AB3" s="2">
        <f t="shared" si="3"/>
        <v>2</v>
      </c>
      <c r="AC3" s="2">
        <f t="shared" si="3"/>
        <v>5</v>
      </c>
      <c r="AD3" s="2">
        <f t="shared" si="3"/>
        <v>1</v>
      </c>
      <c r="AE3" s="2">
        <f t="shared" si="3"/>
        <v>5</v>
      </c>
      <c r="AF3" s="2">
        <f t="shared" si="3"/>
        <v>2</v>
      </c>
      <c r="AG3" s="2">
        <f t="shared" si="3"/>
        <v>5</v>
      </c>
      <c r="AH3" s="72">
        <v>1.0</v>
      </c>
      <c r="AI3" s="2" t="s">
        <v>78</v>
      </c>
      <c r="AJ3" s="2" t="s">
        <v>78</v>
      </c>
      <c r="AK3" s="2" t="s">
        <v>76</v>
      </c>
      <c r="AL3" s="2" t="s">
        <v>76</v>
      </c>
      <c r="AM3" s="2" t="s">
        <v>79</v>
      </c>
      <c r="AN3" s="2" t="s">
        <v>77</v>
      </c>
      <c r="AO3" s="2" t="s">
        <v>77</v>
      </c>
      <c r="AP3" s="2" t="s">
        <v>76</v>
      </c>
      <c r="AQ3" s="2" t="s">
        <v>79</v>
      </c>
      <c r="AR3" s="2" t="s">
        <v>75</v>
      </c>
      <c r="AS3" s="2" t="s">
        <v>77</v>
      </c>
      <c r="AT3" s="2" t="s">
        <v>76</v>
      </c>
      <c r="AU3" s="2" t="s">
        <v>77</v>
      </c>
      <c r="AV3" s="2" t="s">
        <v>78</v>
      </c>
      <c r="AW3" s="2" t="s">
        <v>77</v>
      </c>
      <c r="AX3" s="73">
        <f t="shared" ref="AX3:BL3" si="4">COLUMN(INDIRECT(AI3&amp;1))</f>
        <v>3</v>
      </c>
      <c r="AY3" s="73">
        <f t="shared" si="4"/>
        <v>3</v>
      </c>
      <c r="AZ3" s="73">
        <f t="shared" si="4"/>
        <v>5</v>
      </c>
      <c r="BA3" s="73">
        <f t="shared" si="4"/>
        <v>5</v>
      </c>
      <c r="BB3" s="73">
        <f t="shared" si="4"/>
        <v>2</v>
      </c>
      <c r="BC3" s="73">
        <f t="shared" si="4"/>
        <v>1</v>
      </c>
      <c r="BD3" s="73">
        <f t="shared" si="4"/>
        <v>1</v>
      </c>
      <c r="BE3" s="73">
        <f t="shared" si="4"/>
        <v>5</v>
      </c>
      <c r="BF3" s="73">
        <f t="shared" si="4"/>
        <v>2</v>
      </c>
      <c r="BG3" s="73">
        <f t="shared" si="4"/>
        <v>4</v>
      </c>
      <c r="BH3" s="73">
        <f t="shared" si="4"/>
        <v>1</v>
      </c>
      <c r="BI3" s="73">
        <f t="shared" si="4"/>
        <v>5</v>
      </c>
      <c r="BJ3" s="73">
        <f t="shared" si="4"/>
        <v>1</v>
      </c>
      <c r="BK3" s="73">
        <f t="shared" si="4"/>
        <v>3</v>
      </c>
      <c r="BL3" s="73">
        <f t="shared" si="4"/>
        <v>1</v>
      </c>
      <c r="BM3" s="73"/>
      <c r="BN3" s="73"/>
      <c r="BO3" s="31"/>
      <c r="BP3" s="31"/>
      <c r="BQ3" s="31"/>
      <c r="BR3" s="31"/>
      <c r="BS3" s="31"/>
      <c r="BT3" s="31"/>
      <c r="BU3" s="31"/>
      <c r="BV3" s="31"/>
      <c r="BW3" s="74"/>
      <c r="BX3" s="74"/>
      <c r="BY3" s="73"/>
      <c r="BZ3" s="73"/>
      <c r="CA3" s="73"/>
      <c r="CB3" s="73"/>
      <c r="CC3" s="32">
        <v>2.0</v>
      </c>
      <c r="CD3" s="33" t="s">
        <v>151</v>
      </c>
      <c r="CE3" s="32" t="s">
        <v>79</v>
      </c>
    </row>
    <row r="4">
      <c r="A4" s="71" t="s">
        <v>34</v>
      </c>
      <c r="B4" s="15">
        <v>1.0</v>
      </c>
      <c r="C4" s="15">
        <v>2.0</v>
      </c>
      <c r="D4" s="2" t="s">
        <v>75</v>
      </c>
      <c r="E4" s="2" t="s">
        <v>76</v>
      </c>
      <c r="F4" s="2" t="s">
        <v>77</v>
      </c>
      <c r="G4" s="2" t="s">
        <v>79</v>
      </c>
      <c r="H4" s="2" t="s">
        <v>77</v>
      </c>
      <c r="I4" s="2" t="s">
        <v>78</v>
      </c>
      <c r="J4" s="2" t="s">
        <v>77</v>
      </c>
      <c r="K4" s="2" t="s">
        <v>78</v>
      </c>
      <c r="L4" s="2" t="s">
        <v>79</v>
      </c>
      <c r="M4" s="2" t="s">
        <v>77</v>
      </c>
      <c r="N4" s="2" t="s">
        <v>76</v>
      </c>
      <c r="O4" s="2" t="s">
        <v>78</v>
      </c>
      <c r="P4" s="2" t="s">
        <v>75</v>
      </c>
      <c r="Q4" s="2" t="s">
        <v>75</v>
      </c>
      <c r="R4" s="2" t="s">
        <v>76</v>
      </c>
      <c r="S4" s="2">
        <f t="shared" ref="S4:AG4" si="5">COLUMN(INDIRECT(D4&amp;4))</f>
        <v>4</v>
      </c>
      <c r="T4" s="2">
        <f t="shared" si="5"/>
        <v>5</v>
      </c>
      <c r="U4" s="2">
        <f t="shared" si="5"/>
        <v>1</v>
      </c>
      <c r="V4" s="2">
        <f t="shared" si="5"/>
        <v>2</v>
      </c>
      <c r="W4" s="2">
        <f t="shared" si="5"/>
        <v>1</v>
      </c>
      <c r="X4" s="2">
        <f t="shared" si="5"/>
        <v>3</v>
      </c>
      <c r="Y4" s="2">
        <f t="shared" si="5"/>
        <v>1</v>
      </c>
      <c r="Z4" s="2">
        <f t="shared" si="5"/>
        <v>3</v>
      </c>
      <c r="AA4" s="2">
        <f t="shared" si="5"/>
        <v>2</v>
      </c>
      <c r="AB4" s="2">
        <f t="shared" si="5"/>
        <v>1</v>
      </c>
      <c r="AC4" s="2">
        <f t="shared" si="5"/>
        <v>5</v>
      </c>
      <c r="AD4" s="2">
        <f t="shared" si="5"/>
        <v>3</v>
      </c>
      <c r="AE4" s="2">
        <f t="shared" si="5"/>
        <v>4</v>
      </c>
      <c r="AF4" s="2">
        <f t="shared" si="5"/>
        <v>4</v>
      </c>
      <c r="AG4" s="2">
        <f t="shared" si="5"/>
        <v>5</v>
      </c>
      <c r="AH4" s="72">
        <v>1.0</v>
      </c>
      <c r="AI4" s="2" t="s">
        <v>79</v>
      </c>
      <c r="AJ4" s="2" t="s">
        <v>78</v>
      </c>
      <c r="AK4" s="2" t="s">
        <v>76</v>
      </c>
      <c r="AL4" s="2" t="s">
        <v>75</v>
      </c>
      <c r="AM4" s="2" t="s">
        <v>78</v>
      </c>
      <c r="AN4" s="2" t="s">
        <v>77</v>
      </c>
      <c r="AO4" s="2" t="s">
        <v>77</v>
      </c>
      <c r="AP4" s="2" t="s">
        <v>78</v>
      </c>
      <c r="AQ4" s="2" t="s">
        <v>77</v>
      </c>
      <c r="AR4" s="2" t="s">
        <v>75</v>
      </c>
      <c r="AS4" s="2" t="s">
        <v>77</v>
      </c>
      <c r="AT4" s="2" t="s">
        <v>79</v>
      </c>
      <c r="AU4" s="2" t="s">
        <v>79</v>
      </c>
      <c r="AV4" s="2" t="s">
        <v>75</v>
      </c>
      <c r="AW4" s="2" t="s">
        <v>79</v>
      </c>
      <c r="AX4" s="73">
        <f t="shared" ref="AX4:BL4" si="6">COLUMN(INDIRECT(AI4&amp;1))</f>
        <v>2</v>
      </c>
      <c r="AY4" s="73">
        <f t="shared" si="6"/>
        <v>3</v>
      </c>
      <c r="AZ4" s="73">
        <f t="shared" si="6"/>
        <v>5</v>
      </c>
      <c r="BA4" s="73">
        <f t="shared" si="6"/>
        <v>4</v>
      </c>
      <c r="BB4" s="73">
        <f t="shared" si="6"/>
        <v>3</v>
      </c>
      <c r="BC4" s="73">
        <f t="shared" si="6"/>
        <v>1</v>
      </c>
      <c r="BD4" s="73">
        <f t="shared" si="6"/>
        <v>1</v>
      </c>
      <c r="BE4" s="73">
        <f t="shared" si="6"/>
        <v>3</v>
      </c>
      <c r="BF4" s="73">
        <f t="shared" si="6"/>
        <v>1</v>
      </c>
      <c r="BG4" s="73">
        <f t="shared" si="6"/>
        <v>4</v>
      </c>
      <c r="BH4" s="73">
        <f t="shared" si="6"/>
        <v>1</v>
      </c>
      <c r="BI4" s="73">
        <f t="shared" si="6"/>
        <v>2</v>
      </c>
      <c r="BJ4" s="73">
        <f t="shared" si="6"/>
        <v>2</v>
      </c>
      <c r="BK4" s="73">
        <f t="shared" si="6"/>
        <v>4</v>
      </c>
      <c r="BL4" s="73">
        <f t="shared" si="6"/>
        <v>2</v>
      </c>
      <c r="BM4" s="73"/>
      <c r="BN4" s="73"/>
      <c r="BO4" s="31"/>
      <c r="BP4" s="31"/>
      <c r="BQ4" s="31"/>
      <c r="BR4" s="31"/>
      <c r="BS4" s="31"/>
      <c r="BT4" s="31"/>
      <c r="BU4" s="31"/>
      <c r="BV4" s="31"/>
      <c r="BW4" s="74"/>
      <c r="BX4" s="74"/>
      <c r="BY4" s="73"/>
      <c r="BZ4" s="73"/>
      <c r="CA4" s="73"/>
      <c r="CB4" s="73"/>
      <c r="CC4" s="32">
        <v>3.0</v>
      </c>
      <c r="CD4" s="33" t="s">
        <v>152</v>
      </c>
      <c r="CE4" s="32" t="s">
        <v>78</v>
      </c>
    </row>
    <row r="5">
      <c r="A5" s="71" t="s">
        <v>35</v>
      </c>
      <c r="B5" s="15">
        <v>1.0</v>
      </c>
      <c r="C5" s="15">
        <v>2.0</v>
      </c>
      <c r="D5" s="2" t="s">
        <v>78</v>
      </c>
      <c r="E5" s="2" t="s">
        <v>78</v>
      </c>
      <c r="F5" s="2" t="s">
        <v>77</v>
      </c>
      <c r="G5" s="2" t="s">
        <v>75</v>
      </c>
      <c r="H5" s="2" t="s">
        <v>76</v>
      </c>
      <c r="I5" s="2" t="s">
        <v>77</v>
      </c>
      <c r="J5" s="2" t="s">
        <v>75</v>
      </c>
      <c r="K5" s="2" t="s">
        <v>79</v>
      </c>
      <c r="L5" s="2" t="s">
        <v>76</v>
      </c>
      <c r="M5" s="2" t="s">
        <v>79</v>
      </c>
      <c r="N5" s="2" t="s">
        <v>76</v>
      </c>
      <c r="O5" s="2" t="s">
        <v>77</v>
      </c>
      <c r="P5" s="2" t="s">
        <v>78</v>
      </c>
      <c r="Q5" s="2" t="s">
        <v>79</v>
      </c>
      <c r="R5" s="2" t="s">
        <v>75</v>
      </c>
      <c r="S5" s="2">
        <f t="shared" ref="S5:AG5" si="7">COLUMN(INDIRECT(D5&amp;4))</f>
        <v>3</v>
      </c>
      <c r="T5" s="2">
        <f t="shared" si="7"/>
        <v>3</v>
      </c>
      <c r="U5" s="2">
        <f t="shared" si="7"/>
        <v>1</v>
      </c>
      <c r="V5" s="2">
        <f t="shared" si="7"/>
        <v>4</v>
      </c>
      <c r="W5" s="2">
        <f t="shared" si="7"/>
        <v>5</v>
      </c>
      <c r="X5" s="2">
        <f t="shared" si="7"/>
        <v>1</v>
      </c>
      <c r="Y5" s="2">
        <f t="shared" si="7"/>
        <v>4</v>
      </c>
      <c r="Z5" s="2">
        <f t="shared" si="7"/>
        <v>2</v>
      </c>
      <c r="AA5" s="2">
        <f t="shared" si="7"/>
        <v>5</v>
      </c>
      <c r="AB5" s="2">
        <f t="shared" si="7"/>
        <v>2</v>
      </c>
      <c r="AC5" s="2">
        <f t="shared" si="7"/>
        <v>5</v>
      </c>
      <c r="AD5" s="2">
        <f t="shared" si="7"/>
        <v>1</v>
      </c>
      <c r="AE5" s="2">
        <f t="shared" si="7"/>
        <v>3</v>
      </c>
      <c r="AF5" s="2">
        <f t="shared" si="7"/>
        <v>2</v>
      </c>
      <c r="AG5" s="2">
        <f t="shared" si="7"/>
        <v>4</v>
      </c>
      <c r="AH5" s="72">
        <v>1.0</v>
      </c>
      <c r="AI5" s="2" t="s">
        <v>77</v>
      </c>
      <c r="AJ5" s="2" t="s">
        <v>77</v>
      </c>
      <c r="AK5" s="2" t="s">
        <v>79</v>
      </c>
      <c r="AL5" s="2" t="s">
        <v>79</v>
      </c>
      <c r="AM5" s="2" t="s">
        <v>77</v>
      </c>
      <c r="AN5" s="2" t="s">
        <v>76</v>
      </c>
      <c r="AO5" s="2" t="s">
        <v>77</v>
      </c>
      <c r="AP5" s="2" t="s">
        <v>76</v>
      </c>
      <c r="AQ5" s="2" t="s">
        <v>77</v>
      </c>
      <c r="AR5" s="2" t="s">
        <v>78</v>
      </c>
      <c r="AS5" s="2" t="s">
        <v>77</v>
      </c>
      <c r="AT5" s="2" t="s">
        <v>75</v>
      </c>
      <c r="AU5" s="2" t="s">
        <v>77</v>
      </c>
      <c r="AV5" s="2" t="s">
        <v>77</v>
      </c>
      <c r="AW5" s="2" t="s">
        <v>77</v>
      </c>
      <c r="AX5" s="73">
        <f t="shared" ref="AX5:BL5" si="8">COLUMN(INDIRECT(AI5&amp;1))</f>
        <v>1</v>
      </c>
      <c r="AY5" s="73">
        <f t="shared" si="8"/>
        <v>1</v>
      </c>
      <c r="AZ5" s="73">
        <f t="shared" si="8"/>
        <v>2</v>
      </c>
      <c r="BA5" s="73">
        <f t="shared" si="8"/>
        <v>2</v>
      </c>
      <c r="BB5" s="73">
        <f t="shared" si="8"/>
        <v>1</v>
      </c>
      <c r="BC5" s="73">
        <f t="shared" si="8"/>
        <v>5</v>
      </c>
      <c r="BD5" s="73">
        <f t="shared" si="8"/>
        <v>1</v>
      </c>
      <c r="BE5" s="73">
        <f t="shared" si="8"/>
        <v>5</v>
      </c>
      <c r="BF5" s="73">
        <f t="shared" si="8"/>
        <v>1</v>
      </c>
      <c r="BG5" s="73">
        <f t="shared" si="8"/>
        <v>3</v>
      </c>
      <c r="BH5" s="73">
        <f t="shared" si="8"/>
        <v>1</v>
      </c>
      <c r="BI5" s="73">
        <f t="shared" si="8"/>
        <v>4</v>
      </c>
      <c r="BJ5" s="73">
        <f t="shared" si="8"/>
        <v>1</v>
      </c>
      <c r="BK5" s="73">
        <f t="shared" si="8"/>
        <v>1</v>
      </c>
      <c r="BL5" s="73">
        <f t="shared" si="8"/>
        <v>1</v>
      </c>
      <c r="BM5" s="73"/>
      <c r="BN5" s="73"/>
      <c r="BO5" s="31"/>
      <c r="BP5" s="31"/>
      <c r="BQ5" s="31"/>
      <c r="BR5" s="31"/>
      <c r="BS5" s="31"/>
      <c r="BT5" s="31"/>
      <c r="BU5" s="31"/>
      <c r="BV5" s="31"/>
      <c r="BW5" s="74"/>
      <c r="BX5" s="74"/>
      <c r="BY5" s="73"/>
      <c r="BZ5" s="73"/>
      <c r="CA5" s="73"/>
      <c r="CB5" s="73"/>
      <c r="CC5" s="32">
        <v>4.0</v>
      </c>
      <c r="CD5" s="33" t="s">
        <v>153</v>
      </c>
      <c r="CE5" s="32" t="s">
        <v>75</v>
      </c>
    </row>
    <row r="6">
      <c r="A6" s="71" t="s">
        <v>36</v>
      </c>
      <c r="B6" s="15">
        <v>1.0</v>
      </c>
      <c r="C6" s="15">
        <v>2.0</v>
      </c>
      <c r="D6" s="2" t="s">
        <v>76</v>
      </c>
      <c r="E6" s="2" t="s">
        <v>75</v>
      </c>
      <c r="F6" s="2" t="s">
        <v>77</v>
      </c>
      <c r="G6" s="2" t="s">
        <v>75</v>
      </c>
      <c r="H6" s="2" t="s">
        <v>79</v>
      </c>
      <c r="I6" s="2" t="s">
        <v>77</v>
      </c>
      <c r="J6" s="2" t="s">
        <v>79</v>
      </c>
      <c r="K6" s="2" t="s">
        <v>77</v>
      </c>
      <c r="L6" s="2" t="s">
        <v>78</v>
      </c>
      <c r="M6" s="2" t="s">
        <v>79</v>
      </c>
      <c r="N6" s="2" t="s">
        <v>76</v>
      </c>
      <c r="O6" s="2" t="s">
        <v>77</v>
      </c>
      <c r="P6" s="2" t="s">
        <v>75</v>
      </c>
      <c r="Q6" s="2" t="s">
        <v>77</v>
      </c>
      <c r="R6" s="2" t="s">
        <v>76</v>
      </c>
      <c r="S6" s="2">
        <f t="shared" ref="S6:AG6" si="9">COLUMN(INDIRECT(D6&amp;4))</f>
        <v>5</v>
      </c>
      <c r="T6" s="2">
        <f t="shared" si="9"/>
        <v>4</v>
      </c>
      <c r="U6" s="2">
        <f t="shared" si="9"/>
        <v>1</v>
      </c>
      <c r="V6" s="2">
        <f t="shared" si="9"/>
        <v>4</v>
      </c>
      <c r="W6" s="2">
        <f t="shared" si="9"/>
        <v>2</v>
      </c>
      <c r="X6" s="2">
        <f t="shared" si="9"/>
        <v>1</v>
      </c>
      <c r="Y6" s="2">
        <f t="shared" si="9"/>
        <v>2</v>
      </c>
      <c r="Z6" s="2">
        <f t="shared" si="9"/>
        <v>1</v>
      </c>
      <c r="AA6" s="2">
        <f t="shared" si="9"/>
        <v>3</v>
      </c>
      <c r="AB6" s="2">
        <f t="shared" si="9"/>
        <v>2</v>
      </c>
      <c r="AC6" s="2">
        <f t="shared" si="9"/>
        <v>5</v>
      </c>
      <c r="AD6" s="2">
        <f t="shared" si="9"/>
        <v>1</v>
      </c>
      <c r="AE6" s="2">
        <f t="shared" si="9"/>
        <v>4</v>
      </c>
      <c r="AF6" s="2">
        <f t="shared" si="9"/>
        <v>1</v>
      </c>
      <c r="AG6" s="2">
        <f t="shared" si="9"/>
        <v>5</v>
      </c>
      <c r="AH6" s="72">
        <v>1.0</v>
      </c>
      <c r="AI6" s="2" t="s">
        <v>77</v>
      </c>
      <c r="AJ6" s="2" t="s">
        <v>79</v>
      </c>
      <c r="AK6" s="2" t="s">
        <v>75</v>
      </c>
      <c r="AL6" s="2" t="s">
        <v>78</v>
      </c>
      <c r="AM6" s="2" t="s">
        <v>77</v>
      </c>
      <c r="AN6" s="2" t="s">
        <v>77</v>
      </c>
      <c r="AO6" s="2" t="s">
        <v>79</v>
      </c>
      <c r="AP6" s="2" t="s">
        <v>79</v>
      </c>
      <c r="AQ6" s="2" t="s">
        <v>78</v>
      </c>
      <c r="AR6" s="2" t="s">
        <v>75</v>
      </c>
      <c r="AS6" s="2" t="s">
        <v>79</v>
      </c>
      <c r="AT6" s="2" t="s">
        <v>78</v>
      </c>
      <c r="AU6" s="2" t="s">
        <v>79</v>
      </c>
      <c r="AV6" s="2" t="s">
        <v>78</v>
      </c>
      <c r="AW6" s="2" t="s">
        <v>75</v>
      </c>
      <c r="AX6" s="73">
        <f t="shared" ref="AX6:BL6" si="10">COLUMN(INDIRECT(AI6&amp;1))</f>
        <v>1</v>
      </c>
      <c r="AY6" s="73">
        <f t="shared" si="10"/>
        <v>2</v>
      </c>
      <c r="AZ6" s="73">
        <f t="shared" si="10"/>
        <v>4</v>
      </c>
      <c r="BA6" s="73">
        <f t="shared" si="10"/>
        <v>3</v>
      </c>
      <c r="BB6" s="73">
        <f t="shared" si="10"/>
        <v>1</v>
      </c>
      <c r="BC6" s="73">
        <f t="shared" si="10"/>
        <v>1</v>
      </c>
      <c r="BD6" s="73">
        <f t="shared" si="10"/>
        <v>2</v>
      </c>
      <c r="BE6" s="73">
        <f t="shared" si="10"/>
        <v>2</v>
      </c>
      <c r="BF6" s="73">
        <f t="shared" si="10"/>
        <v>3</v>
      </c>
      <c r="BG6" s="73">
        <f t="shared" si="10"/>
        <v>4</v>
      </c>
      <c r="BH6" s="73">
        <f t="shared" si="10"/>
        <v>2</v>
      </c>
      <c r="BI6" s="73">
        <f t="shared" si="10"/>
        <v>3</v>
      </c>
      <c r="BJ6" s="73">
        <f t="shared" si="10"/>
        <v>2</v>
      </c>
      <c r="BK6" s="73">
        <f t="shared" si="10"/>
        <v>3</v>
      </c>
      <c r="BL6" s="73">
        <f t="shared" si="10"/>
        <v>4</v>
      </c>
      <c r="BM6" s="73"/>
      <c r="BN6" s="73"/>
      <c r="BO6" s="31"/>
      <c r="BP6" s="31"/>
      <c r="BQ6" s="31"/>
      <c r="BR6" s="31"/>
      <c r="BS6" s="31"/>
      <c r="BT6" s="31"/>
      <c r="BU6" s="31"/>
      <c r="BV6" s="31"/>
      <c r="BW6" s="74"/>
      <c r="BX6" s="74"/>
      <c r="BY6" s="73"/>
      <c r="BZ6" s="73"/>
      <c r="CA6" s="73"/>
      <c r="CB6" s="73"/>
      <c r="CC6" s="32">
        <v>5.0</v>
      </c>
      <c r="CD6" s="33" t="s">
        <v>154</v>
      </c>
      <c r="CE6" s="32" t="s">
        <v>76</v>
      </c>
    </row>
    <row r="7">
      <c r="A7" s="71" t="s">
        <v>37</v>
      </c>
      <c r="B7" s="15">
        <v>1.0</v>
      </c>
      <c r="C7" s="15">
        <v>2.0</v>
      </c>
      <c r="D7" s="2" t="s">
        <v>75</v>
      </c>
      <c r="E7" s="2" t="s">
        <v>78</v>
      </c>
      <c r="F7" s="2" t="s">
        <v>77</v>
      </c>
      <c r="G7" s="2" t="s">
        <v>79</v>
      </c>
      <c r="H7" s="2" t="s">
        <v>78</v>
      </c>
      <c r="I7" s="2" t="s">
        <v>79</v>
      </c>
      <c r="J7" s="2" t="s">
        <v>77</v>
      </c>
      <c r="K7" s="2" t="s">
        <v>78</v>
      </c>
      <c r="L7" s="2" t="s">
        <v>77</v>
      </c>
      <c r="M7" s="2" t="s">
        <v>79</v>
      </c>
      <c r="N7" s="2" t="s">
        <v>76</v>
      </c>
      <c r="O7" s="2" t="s">
        <v>79</v>
      </c>
      <c r="P7" s="2" t="s">
        <v>76</v>
      </c>
      <c r="Q7" s="2" t="s">
        <v>77</v>
      </c>
      <c r="R7" s="2" t="s">
        <v>75</v>
      </c>
      <c r="S7" s="2">
        <f t="shared" ref="S7:AG7" si="11">COLUMN(INDIRECT(D7&amp;4))</f>
        <v>4</v>
      </c>
      <c r="T7" s="2">
        <f t="shared" si="11"/>
        <v>3</v>
      </c>
      <c r="U7" s="2">
        <f t="shared" si="11"/>
        <v>1</v>
      </c>
      <c r="V7" s="2">
        <f t="shared" si="11"/>
        <v>2</v>
      </c>
      <c r="W7" s="2">
        <f t="shared" si="11"/>
        <v>3</v>
      </c>
      <c r="X7" s="2">
        <f t="shared" si="11"/>
        <v>2</v>
      </c>
      <c r="Y7" s="2">
        <f t="shared" si="11"/>
        <v>1</v>
      </c>
      <c r="Z7" s="2">
        <f t="shared" si="11"/>
        <v>3</v>
      </c>
      <c r="AA7" s="2">
        <f t="shared" si="11"/>
        <v>1</v>
      </c>
      <c r="AB7" s="2">
        <f t="shared" si="11"/>
        <v>2</v>
      </c>
      <c r="AC7" s="2">
        <f t="shared" si="11"/>
        <v>5</v>
      </c>
      <c r="AD7" s="2">
        <f t="shared" si="11"/>
        <v>2</v>
      </c>
      <c r="AE7" s="2">
        <f t="shared" si="11"/>
        <v>5</v>
      </c>
      <c r="AF7" s="2">
        <f t="shared" si="11"/>
        <v>1</v>
      </c>
      <c r="AG7" s="2">
        <f t="shared" si="11"/>
        <v>4</v>
      </c>
      <c r="AH7" s="72">
        <v>1.0</v>
      </c>
      <c r="AI7" s="2" t="s">
        <v>77</v>
      </c>
      <c r="AJ7" s="2" t="s">
        <v>78</v>
      </c>
      <c r="AK7" s="2" t="s">
        <v>75</v>
      </c>
      <c r="AL7" s="2" t="s">
        <v>79</v>
      </c>
      <c r="AM7" s="2" t="s">
        <v>77</v>
      </c>
      <c r="AN7" s="2" t="s">
        <v>78</v>
      </c>
      <c r="AO7" s="2" t="s">
        <v>77</v>
      </c>
      <c r="AP7" s="2" t="s">
        <v>78</v>
      </c>
      <c r="AQ7" s="2" t="s">
        <v>76</v>
      </c>
      <c r="AR7" s="2" t="s">
        <v>75</v>
      </c>
      <c r="AS7" s="2" t="s">
        <v>79</v>
      </c>
      <c r="AT7" s="2" t="s">
        <v>76</v>
      </c>
      <c r="AU7" s="2" t="s">
        <v>75</v>
      </c>
      <c r="AV7" s="2" t="s">
        <v>77</v>
      </c>
      <c r="AW7" s="2" t="s">
        <v>78</v>
      </c>
      <c r="AX7" s="73">
        <f t="shared" ref="AX7:BL7" si="12">COLUMN(INDIRECT(AI7&amp;1))</f>
        <v>1</v>
      </c>
      <c r="AY7" s="73">
        <f t="shared" si="12"/>
        <v>3</v>
      </c>
      <c r="AZ7" s="73">
        <f t="shared" si="12"/>
        <v>4</v>
      </c>
      <c r="BA7" s="73">
        <f t="shared" si="12"/>
        <v>2</v>
      </c>
      <c r="BB7" s="73">
        <f t="shared" si="12"/>
        <v>1</v>
      </c>
      <c r="BC7" s="73">
        <f t="shared" si="12"/>
        <v>3</v>
      </c>
      <c r="BD7" s="73">
        <f t="shared" si="12"/>
        <v>1</v>
      </c>
      <c r="BE7" s="73">
        <f t="shared" si="12"/>
        <v>3</v>
      </c>
      <c r="BF7" s="73">
        <f t="shared" si="12"/>
        <v>5</v>
      </c>
      <c r="BG7" s="73">
        <f t="shared" si="12"/>
        <v>4</v>
      </c>
      <c r="BH7" s="73">
        <f t="shared" si="12"/>
        <v>2</v>
      </c>
      <c r="BI7" s="73">
        <f t="shared" si="12"/>
        <v>5</v>
      </c>
      <c r="BJ7" s="73">
        <f t="shared" si="12"/>
        <v>4</v>
      </c>
      <c r="BK7" s="73">
        <f t="shared" si="12"/>
        <v>1</v>
      </c>
      <c r="BL7" s="73">
        <f t="shared" si="12"/>
        <v>3</v>
      </c>
      <c r="BM7" s="73"/>
      <c r="BN7" s="73"/>
      <c r="BO7" s="31"/>
      <c r="BP7" s="31"/>
      <c r="BQ7" s="31"/>
      <c r="BR7" s="31"/>
      <c r="BS7" s="31"/>
      <c r="BT7" s="31"/>
      <c r="BU7" s="31"/>
      <c r="BV7" s="31"/>
      <c r="BW7" s="74"/>
      <c r="BX7" s="74"/>
      <c r="BY7" s="73"/>
      <c r="BZ7" s="73"/>
      <c r="CA7" s="73"/>
      <c r="CB7" s="73"/>
      <c r="CC7" s="32">
        <v>6.0</v>
      </c>
      <c r="CD7" s="33" t="s">
        <v>155</v>
      </c>
      <c r="CE7" s="32" t="s">
        <v>77</v>
      </c>
    </row>
    <row r="8">
      <c r="A8" s="71" t="s">
        <v>38</v>
      </c>
      <c r="B8" s="15">
        <v>1.0</v>
      </c>
      <c r="C8" s="15">
        <v>1.0</v>
      </c>
      <c r="D8" s="2" t="s">
        <v>79</v>
      </c>
      <c r="E8" s="2" t="s">
        <v>79</v>
      </c>
      <c r="F8" s="2" t="s">
        <v>77</v>
      </c>
      <c r="G8" s="2" t="s">
        <v>77</v>
      </c>
      <c r="H8" s="2" t="s">
        <v>78</v>
      </c>
      <c r="I8" s="2" t="s">
        <v>77</v>
      </c>
      <c r="J8" s="2" t="s">
        <v>77</v>
      </c>
      <c r="K8" s="2" t="s">
        <v>78</v>
      </c>
      <c r="L8" s="2" t="s">
        <v>79</v>
      </c>
      <c r="M8" s="2" t="s">
        <v>77</v>
      </c>
      <c r="N8" s="2" t="s">
        <v>76</v>
      </c>
      <c r="O8" s="2" t="s">
        <v>79</v>
      </c>
      <c r="P8" s="2" t="s">
        <v>78</v>
      </c>
      <c r="Q8" s="2" t="s">
        <v>79</v>
      </c>
      <c r="R8" s="2" t="s">
        <v>76</v>
      </c>
      <c r="S8" s="2">
        <f t="shared" ref="S8:AG8" si="13">COLUMN(INDIRECT(D8&amp;4))</f>
        <v>2</v>
      </c>
      <c r="T8" s="2">
        <f t="shared" si="13"/>
        <v>2</v>
      </c>
      <c r="U8" s="2">
        <f t="shared" si="13"/>
        <v>1</v>
      </c>
      <c r="V8" s="2">
        <f t="shared" si="13"/>
        <v>1</v>
      </c>
      <c r="W8" s="2">
        <f t="shared" si="13"/>
        <v>3</v>
      </c>
      <c r="X8" s="2">
        <f t="shared" si="13"/>
        <v>1</v>
      </c>
      <c r="Y8" s="2">
        <f t="shared" si="13"/>
        <v>1</v>
      </c>
      <c r="Z8" s="2">
        <f t="shared" si="13"/>
        <v>3</v>
      </c>
      <c r="AA8" s="2">
        <f t="shared" si="13"/>
        <v>2</v>
      </c>
      <c r="AB8" s="2">
        <f t="shared" si="13"/>
        <v>1</v>
      </c>
      <c r="AC8" s="2">
        <f t="shared" si="13"/>
        <v>5</v>
      </c>
      <c r="AD8" s="2">
        <f t="shared" si="13"/>
        <v>2</v>
      </c>
      <c r="AE8" s="2">
        <f t="shared" si="13"/>
        <v>3</v>
      </c>
      <c r="AF8" s="2">
        <f t="shared" si="13"/>
        <v>2</v>
      </c>
      <c r="AG8" s="2">
        <f t="shared" si="13"/>
        <v>5</v>
      </c>
      <c r="AH8" s="72">
        <v>2.0</v>
      </c>
      <c r="AI8" s="2" t="s">
        <v>77</v>
      </c>
      <c r="AJ8" s="2" t="s">
        <v>78</v>
      </c>
      <c r="AK8" s="2" t="s">
        <v>76</v>
      </c>
      <c r="AL8" s="2" t="s">
        <v>76</v>
      </c>
      <c r="AM8" s="2" t="s">
        <v>75</v>
      </c>
      <c r="AN8" s="2" t="s">
        <v>75</v>
      </c>
      <c r="AO8" s="2" t="s">
        <v>77</v>
      </c>
      <c r="AP8" s="2" t="s">
        <v>79</v>
      </c>
      <c r="AQ8" s="2" t="s">
        <v>78</v>
      </c>
      <c r="AR8" s="2" t="s">
        <v>78</v>
      </c>
      <c r="AS8" s="2" t="s">
        <v>77</v>
      </c>
      <c r="AT8" s="2" t="s">
        <v>79</v>
      </c>
      <c r="AU8" s="2" t="s">
        <v>77</v>
      </c>
      <c r="AV8" s="2" t="s">
        <v>78</v>
      </c>
      <c r="AW8" s="2" t="s">
        <v>77</v>
      </c>
      <c r="AX8" s="73">
        <f t="shared" ref="AX8:BL8" si="14">COLUMN(INDIRECT(AI8&amp;1))</f>
        <v>1</v>
      </c>
      <c r="AY8" s="73">
        <f t="shared" si="14"/>
        <v>3</v>
      </c>
      <c r="AZ8" s="73">
        <f t="shared" si="14"/>
        <v>5</v>
      </c>
      <c r="BA8" s="73">
        <f t="shared" si="14"/>
        <v>5</v>
      </c>
      <c r="BB8" s="73">
        <f t="shared" si="14"/>
        <v>4</v>
      </c>
      <c r="BC8" s="73">
        <f t="shared" si="14"/>
        <v>4</v>
      </c>
      <c r="BD8" s="73">
        <f t="shared" si="14"/>
        <v>1</v>
      </c>
      <c r="BE8" s="73">
        <f t="shared" si="14"/>
        <v>2</v>
      </c>
      <c r="BF8" s="73">
        <f t="shared" si="14"/>
        <v>3</v>
      </c>
      <c r="BG8" s="73">
        <f t="shared" si="14"/>
        <v>3</v>
      </c>
      <c r="BH8" s="73">
        <f t="shared" si="14"/>
        <v>1</v>
      </c>
      <c r="BI8" s="73">
        <f t="shared" si="14"/>
        <v>2</v>
      </c>
      <c r="BJ8" s="73">
        <f t="shared" si="14"/>
        <v>1</v>
      </c>
      <c r="BK8" s="73">
        <f t="shared" si="14"/>
        <v>3</v>
      </c>
      <c r="BL8" s="73">
        <f t="shared" si="14"/>
        <v>1</v>
      </c>
      <c r="BM8" s="73"/>
      <c r="BN8" s="73"/>
      <c r="BO8" s="31"/>
      <c r="BP8" s="31"/>
      <c r="BQ8" s="31"/>
      <c r="BR8" s="31"/>
      <c r="BS8" s="31"/>
      <c r="BT8" s="31"/>
      <c r="BU8" s="31"/>
      <c r="BV8" s="31"/>
      <c r="BW8" s="74"/>
      <c r="BX8" s="74"/>
      <c r="BY8" s="73"/>
      <c r="BZ8" s="73"/>
      <c r="CA8" s="73"/>
      <c r="CB8" s="73"/>
      <c r="CC8" s="32">
        <v>7.0</v>
      </c>
      <c r="CD8" s="33" t="s">
        <v>156</v>
      </c>
      <c r="CE8" s="32" t="s">
        <v>79</v>
      </c>
    </row>
    <row r="9">
      <c r="A9" s="71" t="s">
        <v>40</v>
      </c>
      <c r="B9" s="15">
        <v>1.0</v>
      </c>
      <c r="C9" s="15">
        <v>1.0</v>
      </c>
      <c r="D9" s="2" t="s">
        <v>75</v>
      </c>
      <c r="E9" s="2" t="s">
        <v>79</v>
      </c>
      <c r="F9" s="2" t="s">
        <v>78</v>
      </c>
      <c r="G9" s="2" t="s">
        <v>78</v>
      </c>
      <c r="H9" s="2" t="s">
        <v>77</v>
      </c>
      <c r="I9" s="2" t="s">
        <v>78</v>
      </c>
      <c r="J9" s="2" t="s">
        <v>77</v>
      </c>
      <c r="K9" s="2" t="s">
        <v>77</v>
      </c>
      <c r="L9" s="2" t="s">
        <v>79</v>
      </c>
      <c r="M9" s="2" t="s">
        <v>79</v>
      </c>
      <c r="N9" s="2" t="s">
        <v>78</v>
      </c>
      <c r="O9" s="2" t="s">
        <v>79</v>
      </c>
      <c r="P9" s="2" t="s">
        <v>79</v>
      </c>
      <c r="Q9" s="2" t="s">
        <v>77</v>
      </c>
      <c r="R9" s="2" t="s">
        <v>75</v>
      </c>
      <c r="S9" s="2">
        <f t="shared" ref="S9:AG9" si="15">COLUMN(INDIRECT(D9&amp;4))</f>
        <v>4</v>
      </c>
      <c r="T9" s="2">
        <f t="shared" si="15"/>
        <v>2</v>
      </c>
      <c r="U9" s="2">
        <f t="shared" si="15"/>
        <v>3</v>
      </c>
      <c r="V9" s="2">
        <f t="shared" si="15"/>
        <v>3</v>
      </c>
      <c r="W9" s="2">
        <f t="shared" si="15"/>
        <v>1</v>
      </c>
      <c r="X9" s="2">
        <f t="shared" si="15"/>
        <v>3</v>
      </c>
      <c r="Y9" s="2">
        <f t="shared" si="15"/>
        <v>1</v>
      </c>
      <c r="Z9" s="2">
        <f t="shared" si="15"/>
        <v>1</v>
      </c>
      <c r="AA9" s="2">
        <f t="shared" si="15"/>
        <v>2</v>
      </c>
      <c r="AB9" s="2">
        <f t="shared" si="15"/>
        <v>2</v>
      </c>
      <c r="AC9" s="2">
        <f t="shared" si="15"/>
        <v>3</v>
      </c>
      <c r="AD9" s="2">
        <f t="shared" si="15"/>
        <v>2</v>
      </c>
      <c r="AE9" s="2">
        <f t="shared" si="15"/>
        <v>2</v>
      </c>
      <c r="AF9" s="2">
        <f t="shared" si="15"/>
        <v>1</v>
      </c>
      <c r="AG9" s="2">
        <f t="shared" si="15"/>
        <v>4</v>
      </c>
      <c r="AH9" s="72">
        <v>2.0</v>
      </c>
      <c r="AI9" s="2" t="s">
        <v>79</v>
      </c>
      <c r="AJ9" s="2" t="s">
        <v>79</v>
      </c>
      <c r="AK9" s="2" t="s">
        <v>75</v>
      </c>
      <c r="AL9" s="2" t="s">
        <v>78</v>
      </c>
      <c r="AM9" s="2" t="s">
        <v>79</v>
      </c>
      <c r="AN9" s="2" t="s">
        <v>77</v>
      </c>
      <c r="AO9" s="2" t="s">
        <v>79</v>
      </c>
      <c r="AP9" s="2" t="s">
        <v>77</v>
      </c>
      <c r="AQ9" s="2" t="s">
        <v>77</v>
      </c>
      <c r="AR9" s="2" t="s">
        <v>78</v>
      </c>
      <c r="AS9" s="2" t="s">
        <v>75</v>
      </c>
      <c r="AT9" s="2" t="s">
        <v>78</v>
      </c>
      <c r="AU9" s="2" t="s">
        <v>76</v>
      </c>
      <c r="AV9" s="2" t="s">
        <v>75</v>
      </c>
      <c r="AW9" s="2" t="s">
        <v>76</v>
      </c>
      <c r="AX9" s="73">
        <f t="shared" ref="AX9:BL9" si="16">COLUMN(INDIRECT(AI9&amp;1))</f>
        <v>2</v>
      </c>
      <c r="AY9" s="73">
        <f t="shared" si="16"/>
        <v>2</v>
      </c>
      <c r="AZ9" s="73">
        <f t="shared" si="16"/>
        <v>4</v>
      </c>
      <c r="BA9" s="73">
        <f t="shared" si="16"/>
        <v>3</v>
      </c>
      <c r="BB9" s="73">
        <f t="shared" si="16"/>
        <v>2</v>
      </c>
      <c r="BC9" s="73">
        <f t="shared" si="16"/>
        <v>1</v>
      </c>
      <c r="BD9" s="73">
        <f t="shared" si="16"/>
        <v>2</v>
      </c>
      <c r="BE9" s="73">
        <f t="shared" si="16"/>
        <v>1</v>
      </c>
      <c r="BF9" s="73">
        <f t="shared" si="16"/>
        <v>1</v>
      </c>
      <c r="BG9" s="73">
        <f t="shared" si="16"/>
        <v>3</v>
      </c>
      <c r="BH9" s="73">
        <f t="shared" si="16"/>
        <v>4</v>
      </c>
      <c r="BI9" s="73">
        <f t="shared" si="16"/>
        <v>3</v>
      </c>
      <c r="BJ9" s="73">
        <f t="shared" si="16"/>
        <v>5</v>
      </c>
      <c r="BK9" s="73">
        <f t="shared" si="16"/>
        <v>4</v>
      </c>
      <c r="BL9" s="73">
        <f t="shared" si="16"/>
        <v>5</v>
      </c>
      <c r="BM9" s="73"/>
      <c r="BN9" s="73"/>
      <c r="BO9" s="31"/>
      <c r="BP9" s="31"/>
      <c r="BQ9" s="31"/>
      <c r="BR9" s="31"/>
      <c r="BS9" s="31"/>
      <c r="BT9" s="31"/>
      <c r="BU9" s="31"/>
      <c r="BV9" s="31"/>
      <c r="BW9" s="74"/>
      <c r="BX9" s="74"/>
      <c r="BY9" s="73"/>
      <c r="BZ9" s="73"/>
      <c r="CA9" s="73"/>
      <c r="CB9" s="73"/>
      <c r="CC9" s="32"/>
      <c r="CD9" s="33"/>
      <c r="CE9" s="32"/>
    </row>
    <row r="10">
      <c r="A10" s="71" t="s">
        <v>39</v>
      </c>
      <c r="B10" s="15">
        <v>1.0</v>
      </c>
      <c r="C10" s="15">
        <v>1.0</v>
      </c>
      <c r="D10" s="2" t="s">
        <v>76</v>
      </c>
      <c r="E10" s="2" t="s">
        <v>75</v>
      </c>
      <c r="F10" s="2" t="s">
        <v>77</v>
      </c>
      <c r="G10" s="2" t="s">
        <v>76</v>
      </c>
      <c r="H10" s="2" t="s">
        <v>77</v>
      </c>
      <c r="I10" s="2" t="s">
        <v>78</v>
      </c>
      <c r="J10" s="2" t="s">
        <v>77</v>
      </c>
      <c r="K10" s="2" t="s">
        <v>77</v>
      </c>
      <c r="L10" s="2" t="s">
        <v>79</v>
      </c>
      <c r="M10" s="2" t="s">
        <v>78</v>
      </c>
      <c r="N10" s="2" t="s">
        <v>76</v>
      </c>
      <c r="O10" s="2" t="s">
        <v>77</v>
      </c>
      <c r="P10" s="2" t="s">
        <v>76</v>
      </c>
      <c r="Q10" s="2" t="s">
        <v>75</v>
      </c>
      <c r="R10" s="2" t="s">
        <v>76</v>
      </c>
      <c r="S10" s="2">
        <f t="shared" ref="S10:AG10" si="17">COLUMN(INDIRECT(D10&amp;4))</f>
        <v>5</v>
      </c>
      <c r="T10" s="2">
        <f t="shared" si="17"/>
        <v>4</v>
      </c>
      <c r="U10" s="2">
        <f t="shared" si="17"/>
        <v>1</v>
      </c>
      <c r="V10" s="2">
        <f t="shared" si="17"/>
        <v>5</v>
      </c>
      <c r="W10" s="2">
        <f t="shared" si="17"/>
        <v>1</v>
      </c>
      <c r="X10" s="2">
        <f t="shared" si="17"/>
        <v>3</v>
      </c>
      <c r="Y10" s="2">
        <f t="shared" si="17"/>
        <v>1</v>
      </c>
      <c r="Z10" s="2">
        <f t="shared" si="17"/>
        <v>1</v>
      </c>
      <c r="AA10" s="2">
        <f t="shared" si="17"/>
        <v>2</v>
      </c>
      <c r="AB10" s="2">
        <f t="shared" si="17"/>
        <v>3</v>
      </c>
      <c r="AC10" s="2">
        <f t="shared" si="17"/>
        <v>5</v>
      </c>
      <c r="AD10" s="2">
        <f t="shared" si="17"/>
        <v>1</v>
      </c>
      <c r="AE10" s="2">
        <f t="shared" si="17"/>
        <v>5</v>
      </c>
      <c r="AF10" s="2">
        <f t="shared" si="17"/>
        <v>4</v>
      </c>
      <c r="AG10" s="2">
        <f t="shared" si="17"/>
        <v>5</v>
      </c>
      <c r="AH10" s="72">
        <v>2.0</v>
      </c>
      <c r="AI10" s="2" t="s">
        <v>79</v>
      </c>
      <c r="AJ10" s="2" t="s">
        <v>75</v>
      </c>
      <c r="AK10" s="2" t="s">
        <v>78</v>
      </c>
      <c r="AL10" s="2" t="s">
        <v>78</v>
      </c>
      <c r="AM10" s="2" t="s">
        <v>79</v>
      </c>
      <c r="AN10" s="2" t="s">
        <v>75</v>
      </c>
      <c r="AO10" s="2" t="s">
        <v>79</v>
      </c>
      <c r="AP10" s="2" t="s">
        <v>78</v>
      </c>
      <c r="AQ10" s="2" t="s">
        <v>79</v>
      </c>
      <c r="AR10" s="2" t="s">
        <v>78</v>
      </c>
      <c r="AS10" s="2" t="s">
        <v>75</v>
      </c>
      <c r="AT10" s="2" t="s">
        <v>78</v>
      </c>
      <c r="AU10" s="2" t="s">
        <v>75</v>
      </c>
      <c r="AV10" s="2" t="s">
        <v>76</v>
      </c>
      <c r="AW10" s="2" t="s">
        <v>79</v>
      </c>
      <c r="AX10" s="73">
        <f t="shared" ref="AX10:BL10" si="18">COLUMN(INDIRECT(AI10&amp;1))</f>
        <v>2</v>
      </c>
      <c r="AY10" s="73">
        <f t="shared" si="18"/>
        <v>4</v>
      </c>
      <c r="AZ10" s="73">
        <f t="shared" si="18"/>
        <v>3</v>
      </c>
      <c r="BA10" s="73">
        <f t="shared" si="18"/>
        <v>3</v>
      </c>
      <c r="BB10" s="73">
        <f t="shared" si="18"/>
        <v>2</v>
      </c>
      <c r="BC10" s="73">
        <f t="shared" si="18"/>
        <v>4</v>
      </c>
      <c r="BD10" s="73">
        <f t="shared" si="18"/>
        <v>2</v>
      </c>
      <c r="BE10" s="73">
        <f t="shared" si="18"/>
        <v>3</v>
      </c>
      <c r="BF10" s="73">
        <f t="shared" si="18"/>
        <v>2</v>
      </c>
      <c r="BG10" s="73">
        <f t="shared" si="18"/>
        <v>3</v>
      </c>
      <c r="BH10" s="73">
        <f t="shared" si="18"/>
        <v>4</v>
      </c>
      <c r="BI10" s="73">
        <f t="shared" si="18"/>
        <v>3</v>
      </c>
      <c r="BJ10" s="73">
        <f t="shared" si="18"/>
        <v>4</v>
      </c>
      <c r="BK10" s="73">
        <f t="shared" si="18"/>
        <v>5</v>
      </c>
      <c r="BL10" s="73">
        <f t="shared" si="18"/>
        <v>2</v>
      </c>
      <c r="BM10" s="73"/>
      <c r="BN10" s="73"/>
      <c r="BO10" s="31"/>
      <c r="BP10" s="31"/>
      <c r="BQ10" s="31"/>
      <c r="BR10" s="31"/>
      <c r="BS10" s="31"/>
      <c r="BT10" s="31"/>
      <c r="BU10" s="31"/>
      <c r="BV10" s="31"/>
      <c r="BW10" s="74"/>
      <c r="BX10" s="74"/>
      <c r="BY10" s="73"/>
      <c r="BZ10" s="73"/>
      <c r="CA10" s="73"/>
      <c r="CB10" s="73"/>
      <c r="CC10" s="32">
        <v>9.0</v>
      </c>
      <c r="CD10" s="33" t="s">
        <v>157</v>
      </c>
      <c r="CE10" s="32" t="s">
        <v>75</v>
      </c>
    </row>
    <row r="11">
      <c r="A11" s="71" t="s">
        <v>41</v>
      </c>
      <c r="B11" s="15">
        <v>1.0</v>
      </c>
      <c r="C11" s="15">
        <v>1.0</v>
      </c>
      <c r="D11" s="2" t="s">
        <v>76</v>
      </c>
      <c r="E11" s="2" t="s">
        <v>75</v>
      </c>
      <c r="F11" s="2" t="s">
        <v>79</v>
      </c>
      <c r="G11" s="2" t="s">
        <v>75</v>
      </c>
      <c r="H11" s="2" t="s">
        <v>77</v>
      </c>
      <c r="I11" s="2" t="s">
        <v>79</v>
      </c>
      <c r="J11" s="2" t="s">
        <v>77</v>
      </c>
      <c r="K11" s="2" t="s">
        <v>77</v>
      </c>
      <c r="L11" s="2" t="s">
        <v>78</v>
      </c>
      <c r="M11" s="2" t="s">
        <v>79</v>
      </c>
      <c r="N11" s="2" t="s">
        <v>76</v>
      </c>
      <c r="O11" s="2" t="s">
        <v>78</v>
      </c>
      <c r="P11" s="2" t="s">
        <v>76</v>
      </c>
      <c r="Q11" s="2" t="s">
        <v>79</v>
      </c>
      <c r="R11" s="2" t="s">
        <v>76</v>
      </c>
      <c r="S11" s="2">
        <f t="shared" ref="S11:AG11" si="19">COLUMN(INDIRECT(D11&amp;4))</f>
        <v>5</v>
      </c>
      <c r="T11" s="2">
        <f t="shared" si="19"/>
        <v>4</v>
      </c>
      <c r="U11" s="2">
        <f t="shared" si="19"/>
        <v>2</v>
      </c>
      <c r="V11" s="2">
        <f t="shared" si="19"/>
        <v>4</v>
      </c>
      <c r="W11" s="2">
        <f t="shared" si="19"/>
        <v>1</v>
      </c>
      <c r="X11" s="2">
        <f t="shared" si="19"/>
        <v>2</v>
      </c>
      <c r="Y11" s="2">
        <f t="shared" si="19"/>
        <v>1</v>
      </c>
      <c r="Z11" s="2">
        <f t="shared" si="19"/>
        <v>1</v>
      </c>
      <c r="AA11" s="2">
        <f t="shared" si="19"/>
        <v>3</v>
      </c>
      <c r="AB11" s="2">
        <f t="shared" si="19"/>
        <v>2</v>
      </c>
      <c r="AC11" s="2">
        <f t="shared" si="19"/>
        <v>5</v>
      </c>
      <c r="AD11" s="2">
        <f t="shared" si="19"/>
        <v>3</v>
      </c>
      <c r="AE11" s="2">
        <f t="shared" si="19"/>
        <v>5</v>
      </c>
      <c r="AF11" s="2">
        <f t="shared" si="19"/>
        <v>2</v>
      </c>
      <c r="AG11" s="2">
        <f t="shared" si="19"/>
        <v>5</v>
      </c>
      <c r="AH11" s="72">
        <v>2.0</v>
      </c>
      <c r="AI11" s="2" t="s">
        <v>77</v>
      </c>
      <c r="AJ11" s="2" t="s">
        <v>78</v>
      </c>
      <c r="AK11" s="2" t="s">
        <v>76</v>
      </c>
      <c r="AL11" s="2" t="s">
        <v>76</v>
      </c>
      <c r="AM11" s="2" t="s">
        <v>79</v>
      </c>
      <c r="AN11" s="2" t="s">
        <v>79</v>
      </c>
      <c r="AO11" s="2" t="s">
        <v>77</v>
      </c>
      <c r="AP11" s="2" t="s">
        <v>79</v>
      </c>
      <c r="AQ11" s="2" t="s">
        <v>77</v>
      </c>
      <c r="AR11" s="2" t="s">
        <v>75</v>
      </c>
      <c r="AS11" s="2" t="s">
        <v>78</v>
      </c>
      <c r="AT11" s="2" t="s">
        <v>78</v>
      </c>
      <c r="AU11" s="2" t="s">
        <v>78</v>
      </c>
      <c r="AV11" s="2" t="s">
        <v>79</v>
      </c>
      <c r="AW11" s="2" t="s">
        <v>77</v>
      </c>
      <c r="AX11" s="73">
        <f t="shared" ref="AX11:BL11" si="20">COLUMN(INDIRECT(AI11&amp;1))</f>
        <v>1</v>
      </c>
      <c r="AY11" s="73">
        <f t="shared" si="20"/>
        <v>3</v>
      </c>
      <c r="AZ11" s="73">
        <f t="shared" si="20"/>
        <v>5</v>
      </c>
      <c r="BA11" s="73">
        <f t="shared" si="20"/>
        <v>5</v>
      </c>
      <c r="BB11" s="73">
        <f t="shared" si="20"/>
        <v>2</v>
      </c>
      <c r="BC11" s="73">
        <f t="shared" si="20"/>
        <v>2</v>
      </c>
      <c r="BD11" s="73">
        <f t="shared" si="20"/>
        <v>1</v>
      </c>
      <c r="BE11" s="73">
        <f t="shared" si="20"/>
        <v>2</v>
      </c>
      <c r="BF11" s="73">
        <f t="shared" si="20"/>
        <v>1</v>
      </c>
      <c r="BG11" s="73">
        <f t="shared" si="20"/>
        <v>4</v>
      </c>
      <c r="BH11" s="73">
        <f t="shared" si="20"/>
        <v>3</v>
      </c>
      <c r="BI11" s="73">
        <f t="shared" si="20"/>
        <v>3</v>
      </c>
      <c r="BJ11" s="73">
        <f t="shared" si="20"/>
        <v>3</v>
      </c>
      <c r="BK11" s="73">
        <f t="shared" si="20"/>
        <v>2</v>
      </c>
      <c r="BL11" s="73">
        <f t="shared" si="20"/>
        <v>1</v>
      </c>
      <c r="BM11" s="73"/>
      <c r="BN11" s="73"/>
      <c r="BO11" s="31"/>
      <c r="BP11" s="31"/>
      <c r="BQ11" s="31"/>
      <c r="BR11" s="31"/>
      <c r="BS11" s="31"/>
      <c r="BT11" s="31"/>
      <c r="BU11" s="31"/>
      <c r="BV11" s="31"/>
      <c r="BW11" s="74"/>
      <c r="BX11" s="74"/>
      <c r="BY11" s="73"/>
      <c r="BZ11" s="73"/>
      <c r="CA11" s="73"/>
      <c r="CB11" s="73"/>
      <c r="CC11" s="32">
        <v>10.0</v>
      </c>
      <c r="CD11" s="33" t="s">
        <v>158</v>
      </c>
      <c r="CE11" s="32" t="s">
        <v>76</v>
      </c>
    </row>
    <row r="12">
      <c r="A12" s="71" t="s">
        <v>42</v>
      </c>
      <c r="B12" s="15">
        <v>1.0</v>
      </c>
      <c r="C12" s="15">
        <v>1.0</v>
      </c>
      <c r="D12" s="2" t="s">
        <v>77</v>
      </c>
      <c r="E12" s="2" t="s">
        <v>79</v>
      </c>
      <c r="F12" s="2" t="s">
        <v>76</v>
      </c>
      <c r="G12" s="2" t="s">
        <v>77</v>
      </c>
      <c r="H12" s="2" t="s">
        <v>75</v>
      </c>
      <c r="I12" s="2" t="s">
        <v>79</v>
      </c>
      <c r="J12" s="2" t="s">
        <v>76</v>
      </c>
      <c r="K12" s="2" t="s">
        <v>78</v>
      </c>
      <c r="L12" s="2" t="s">
        <v>77</v>
      </c>
      <c r="M12" s="2" t="s">
        <v>76</v>
      </c>
      <c r="N12" s="2" t="s">
        <v>79</v>
      </c>
      <c r="O12" s="2" t="s">
        <v>77</v>
      </c>
      <c r="P12" s="2" t="s">
        <v>78</v>
      </c>
      <c r="Q12" s="2" t="s">
        <v>78</v>
      </c>
      <c r="R12" s="2" t="s">
        <v>76</v>
      </c>
      <c r="S12" s="2">
        <f t="shared" ref="S12:AG12" si="21">COLUMN(INDIRECT(D12&amp;4))</f>
        <v>1</v>
      </c>
      <c r="T12" s="2">
        <f t="shared" si="21"/>
        <v>2</v>
      </c>
      <c r="U12" s="2">
        <f t="shared" si="21"/>
        <v>5</v>
      </c>
      <c r="V12" s="2">
        <f t="shared" si="21"/>
        <v>1</v>
      </c>
      <c r="W12" s="2">
        <f t="shared" si="21"/>
        <v>4</v>
      </c>
      <c r="X12" s="2">
        <f t="shared" si="21"/>
        <v>2</v>
      </c>
      <c r="Y12" s="2">
        <f t="shared" si="21"/>
        <v>5</v>
      </c>
      <c r="Z12" s="2">
        <f t="shared" si="21"/>
        <v>3</v>
      </c>
      <c r="AA12" s="2">
        <f t="shared" si="21"/>
        <v>1</v>
      </c>
      <c r="AB12" s="2">
        <f t="shared" si="21"/>
        <v>5</v>
      </c>
      <c r="AC12" s="2">
        <f t="shared" si="21"/>
        <v>2</v>
      </c>
      <c r="AD12" s="2">
        <f t="shared" si="21"/>
        <v>1</v>
      </c>
      <c r="AE12" s="2">
        <f t="shared" si="21"/>
        <v>3</v>
      </c>
      <c r="AF12" s="2">
        <f t="shared" si="21"/>
        <v>3</v>
      </c>
      <c r="AG12" s="2">
        <f t="shared" si="21"/>
        <v>5</v>
      </c>
      <c r="AH12" s="72">
        <v>2.0</v>
      </c>
      <c r="AI12" s="2" t="s">
        <v>77</v>
      </c>
      <c r="AJ12" s="2" t="s">
        <v>79</v>
      </c>
      <c r="AK12" s="2" t="s">
        <v>76</v>
      </c>
      <c r="AL12" s="2" t="s">
        <v>76</v>
      </c>
      <c r="AM12" s="2" t="s">
        <v>77</v>
      </c>
      <c r="AN12" s="2" t="s">
        <v>78</v>
      </c>
      <c r="AO12" s="2" t="s">
        <v>79</v>
      </c>
      <c r="AP12" s="2" t="s">
        <v>75</v>
      </c>
      <c r="AQ12" s="2" t="s">
        <v>77</v>
      </c>
      <c r="AR12" s="2" t="s">
        <v>76</v>
      </c>
      <c r="AS12" s="2" t="s">
        <v>77</v>
      </c>
      <c r="AT12" s="2" t="s">
        <v>78</v>
      </c>
      <c r="AU12" s="2" t="s">
        <v>79</v>
      </c>
      <c r="AV12" s="2" t="s">
        <v>77</v>
      </c>
      <c r="AW12" s="2" t="s">
        <v>79</v>
      </c>
      <c r="AX12" s="73">
        <f t="shared" ref="AX12:BL12" si="22">COLUMN(INDIRECT(AI12&amp;1))</f>
        <v>1</v>
      </c>
      <c r="AY12" s="73">
        <f t="shared" si="22"/>
        <v>2</v>
      </c>
      <c r="AZ12" s="73">
        <f t="shared" si="22"/>
        <v>5</v>
      </c>
      <c r="BA12" s="73">
        <f t="shared" si="22"/>
        <v>5</v>
      </c>
      <c r="BB12" s="73">
        <f t="shared" si="22"/>
        <v>1</v>
      </c>
      <c r="BC12" s="73">
        <f t="shared" si="22"/>
        <v>3</v>
      </c>
      <c r="BD12" s="73">
        <f t="shared" si="22"/>
        <v>2</v>
      </c>
      <c r="BE12" s="73">
        <f t="shared" si="22"/>
        <v>4</v>
      </c>
      <c r="BF12" s="73">
        <f t="shared" si="22"/>
        <v>1</v>
      </c>
      <c r="BG12" s="73">
        <f t="shared" si="22"/>
        <v>5</v>
      </c>
      <c r="BH12" s="73">
        <f t="shared" si="22"/>
        <v>1</v>
      </c>
      <c r="BI12" s="73">
        <f t="shared" si="22"/>
        <v>3</v>
      </c>
      <c r="BJ12" s="73">
        <f t="shared" si="22"/>
        <v>2</v>
      </c>
      <c r="BK12" s="73">
        <f t="shared" si="22"/>
        <v>1</v>
      </c>
      <c r="BL12" s="73">
        <f t="shared" si="22"/>
        <v>2</v>
      </c>
      <c r="BM12" s="73"/>
      <c r="BN12" s="73"/>
      <c r="BO12" s="31"/>
      <c r="BP12" s="31"/>
      <c r="BQ12" s="31"/>
      <c r="BR12" s="31"/>
      <c r="BS12" s="31"/>
      <c r="BT12" s="31"/>
      <c r="BU12" s="31"/>
      <c r="BV12" s="31"/>
      <c r="BW12" s="74"/>
      <c r="BX12" s="74"/>
      <c r="BY12" s="73"/>
      <c r="BZ12" s="73"/>
      <c r="CA12" s="73"/>
      <c r="CB12" s="73"/>
      <c r="CC12" s="32">
        <v>11.0</v>
      </c>
      <c r="CD12" s="33" t="s">
        <v>159</v>
      </c>
      <c r="CE12" s="32" t="s">
        <v>77</v>
      </c>
    </row>
    <row r="13">
      <c r="A13" s="71" t="s">
        <v>43</v>
      </c>
      <c r="B13" s="15">
        <v>1.0</v>
      </c>
      <c r="C13" s="15">
        <v>1.0</v>
      </c>
      <c r="D13" s="2" t="s">
        <v>76</v>
      </c>
      <c r="E13" s="2" t="s">
        <v>75</v>
      </c>
      <c r="F13" s="2" t="s">
        <v>79</v>
      </c>
      <c r="G13" s="2" t="s">
        <v>78</v>
      </c>
      <c r="H13" s="2" t="s">
        <v>77</v>
      </c>
      <c r="I13" s="2" t="s">
        <v>79</v>
      </c>
      <c r="J13" s="2" t="s">
        <v>79</v>
      </c>
      <c r="K13" s="2" t="s">
        <v>77</v>
      </c>
      <c r="L13" s="2" t="s">
        <v>78</v>
      </c>
      <c r="M13" s="2" t="s">
        <v>77</v>
      </c>
      <c r="N13" s="2" t="s">
        <v>76</v>
      </c>
      <c r="O13" s="2" t="s">
        <v>77</v>
      </c>
      <c r="P13" s="2" t="s">
        <v>75</v>
      </c>
      <c r="Q13" s="2" t="s">
        <v>79</v>
      </c>
      <c r="R13" s="2" t="s">
        <v>76</v>
      </c>
      <c r="S13" s="2">
        <f t="shared" ref="S13:AG13" si="23">COLUMN(INDIRECT(D13&amp;4))</f>
        <v>5</v>
      </c>
      <c r="T13" s="2">
        <f t="shared" si="23"/>
        <v>4</v>
      </c>
      <c r="U13" s="2">
        <f t="shared" si="23"/>
        <v>2</v>
      </c>
      <c r="V13" s="2">
        <f t="shared" si="23"/>
        <v>3</v>
      </c>
      <c r="W13" s="2">
        <f t="shared" si="23"/>
        <v>1</v>
      </c>
      <c r="X13" s="2">
        <f t="shared" si="23"/>
        <v>2</v>
      </c>
      <c r="Y13" s="2">
        <f t="shared" si="23"/>
        <v>2</v>
      </c>
      <c r="Z13" s="2">
        <f t="shared" si="23"/>
        <v>1</v>
      </c>
      <c r="AA13" s="2">
        <f t="shared" si="23"/>
        <v>3</v>
      </c>
      <c r="AB13" s="2">
        <f t="shared" si="23"/>
        <v>1</v>
      </c>
      <c r="AC13" s="2">
        <f t="shared" si="23"/>
        <v>5</v>
      </c>
      <c r="AD13" s="2">
        <f t="shared" si="23"/>
        <v>1</v>
      </c>
      <c r="AE13" s="2">
        <f t="shared" si="23"/>
        <v>4</v>
      </c>
      <c r="AF13" s="2">
        <f t="shared" si="23"/>
        <v>2</v>
      </c>
      <c r="AG13" s="2">
        <f t="shared" si="23"/>
        <v>5</v>
      </c>
      <c r="AH13" s="72">
        <v>2.0</v>
      </c>
      <c r="AI13" s="2" t="s">
        <v>77</v>
      </c>
      <c r="AJ13" s="2" t="s">
        <v>79</v>
      </c>
      <c r="AK13" s="2" t="s">
        <v>76</v>
      </c>
      <c r="AL13" s="2" t="s">
        <v>75</v>
      </c>
      <c r="AM13" s="2" t="s">
        <v>79</v>
      </c>
      <c r="AN13" s="2" t="s">
        <v>79</v>
      </c>
      <c r="AO13" s="2" t="s">
        <v>79</v>
      </c>
      <c r="AP13" s="2" t="s">
        <v>79</v>
      </c>
      <c r="AQ13" s="2" t="s">
        <v>79</v>
      </c>
      <c r="AR13" s="2" t="s">
        <v>78</v>
      </c>
      <c r="AS13" s="2" t="s">
        <v>77</v>
      </c>
      <c r="AT13" s="2" t="s">
        <v>75</v>
      </c>
      <c r="AU13" s="2" t="s">
        <v>79</v>
      </c>
      <c r="AV13" s="2" t="s">
        <v>75</v>
      </c>
      <c r="AW13" s="2" t="s">
        <v>79</v>
      </c>
      <c r="AX13" s="73">
        <f t="shared" ref="AX13:BL13" si="24">COLUMN(INDIRECT(AI13&amp;1))</f>
        <v>1</v>
      </c>
      <c r="AY13" s="73">
        <f t="shared" si="24"/>
        <v>2</v>
      </c>
      <c r="AZ13" s="73">
        <f t="shared" si="24"/>
        <v>5</v>
      </c>
      <c r="BA13" s="73">
        <f t="shared" si="24"/>
        <v>4</v>
      </c>
      <c r="BB13" s="73">
        <f t="shared" si="24"/>
        <v>2</v>
      </c>
      <c r="BC13" s="73">
        <f t="shared" si="24"/>
        <v>2</v>
      </c>
      <c r="BD13" s="73">
        <f t="shared" si="24"/>
        <v>2</v>
      </c>
      <c r="BE13" s="73">
        <f t="shared" si="24"/>
        <v>2</v>
      </c>
      <c r="BF13" s="73">
        <f t="shared" si="24"/>
        <v>2</v>
      </c>
      <c r="BG13" s="73">
        <f t="shared" si="24"/>
        <v>3</v>
      </c>
      <c r="BH13" s="73">
        <f t="shared" si="24"/>
        <v>1</v>
      </c>
      <c r="BI13" s="73">
        <f t="shared" si="24"/>
        <v>4</v>
      </c>
      <c r="BJ13" s="73">
        <f t="shared" si="24"/>
        <v>2</v>
      </c>
      <c r="BK13" s="73">
        <f t="shared" si="24"/>
        <v>4</v>
      </c>
      <c r="BL13" s="73">
        <f t="shared" si="24"/>
        <v>2</v>
      </c>
      <c r="BM13" s="73"/>
      <c r="BN13" s="73"/>
      <c r="BO13" s="31"/>
      <c r="BP13" s="31"/>
      <c r="BQ13" s="31"/>
      <c r="BR13" s="31"/>
      <c r="BS13" s="31"/>
      <c r="BT13" s="31"/>
      <c r="BU13" s="31"/>
      <c r="BV13" s="31"/>
      <c r="BW13" s="74"/>
      <c r="BX13" s="74"/>
      <c r="BY13" s="73"/>
      <c r="BZ13" s="73"/>
      <c r="CA13" s="73"/>
      <c r="CB13" s="73"/>
      <c r="CC13" s="32">
        <v>12.0</v>
      </c>
      <c r="CD13" s="33" t="s">
        <v>160</v>
      </c>
      <c r="CE13" s="32" t="s">
        <v>79</v>
      </c>
    </row>
    <row r="14">
      <c r="A14" s="71" t="s">
        <v>161</v>
      </c>
      <c r="B14" s="75">
        <v>1.0</v>
      </c>
      <c r="C14" s="75" t="s">
        <v>96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>
        <f t="shared" ref="S14:AG14" si="25">SUM(S2:S13)/12</f>
        <v>3.916666667</v>
      </c>
      <c r="T14" s="71">
        <f t="shared" si="25"/>
        <v>3.5</v>
      </c>
      <c r="U14" s="71">
        <f t="shared" si="25"/>
        <v>1.666666667</v>
      </c>
      <c r="V14" s="71">
        <f t="shared" si="25"/>
        <v>2.916666667</v>
      </c>
      <c r="W14" s="71">
        <f t="shared" si="25"/>
        <v>2</v>
      </c>
      <c r="X14" s="71">
        <f t="shared" si="25"/>
        <v>1.916666667</v>
      </c>
      <c r="Y14" s="71">
        <f t="shared" si="25"/>
        <v>1.833333333</v>
      </c>
      <c r="Z14" s="71">
        <f t="shared" si="25"/>
        <v>2.083333333</v>
      </c>
      <c r="AA14" s="71">
        <f t="shared" si="25"/>
        <v>2.75</v>
      </c>
      <c r="AB14" s="71">
        <f t="shared" si="25"/>
        <v>2.083333333</v>
      </c>
      <c r="AC14" s="71">
        <f t="shared" si="25"/>
        <v>4.583333333</v>
      </c>
      <c r="AD14" s="71">
        <f t="shared" si="25"/>
        <v>1.833333333</v>
      </c>
      <c r="AE14" s="71">
        <f t="shared" si="25"/>
        <v>3.75</v>
      </c>
      <c r="AF14" s="71">
        <f t="shared" si="25"/>
        <v>2.083333333</v>
      </c>
      <c r="AG14" s="71">
        <f t="shared" si="25"/>
        <v>4.75</v>
      </c>
      <c r="AH14" s="71" t="s">
        <v>96</v>
      </c>
      <c r="AI14" s="71">
        <f t="shared" ref="AI14:BL14" si="26">SUM(AI2:AI13)/12</f>
        <v>0</v>
      </c>
      <c r="AJ14" s="71">
        <f t="shared" si="26"/>
        <v>0</v>
      </c>
      <c r="AK14" s="71">
        <f t="shared" si="26"/>
        <v>0</v>
      </c>
      <c r="AL14" s="71">
        <f t="shared" si="26"/>
        <v>0</v>
      </c>
      <c r="AM14" s="71">
        <f t="shared" si="26"/>
        <v>0</v>
      </c>
      <c r="AN14" s="71">
        <f t="shared" si="26"/>
        <v>0</v>
      </c>
      <c r="AO14" s="71">
        <f t="shared" si="26"/>
        <v>0</v>
      </c>
      <c r="AP14" s="71">
        <f t="shared" si="26"/>
        <v>0</v>
      </c>
      <c r="AQ14" s="71">
        <f t="shared" si="26"/>
        <v>0</v>
      </c>
      <c r="AR14" s="71">
        <f t="shared" si="26"/>
        <v>0</v>
      </c>
      <c r="AS14" s="71">
        <f t="shared" si="26"/>
        <v>0</v>
      </c>
      <c r="AT14" s="71">
        <f t="shared" si="26"/>
        <v>0</v>
      </c>
      <c r="AU14" s="71">
        <f t="shared" si="26"/>
        <v>0</v>
      </c>
      <c r="AV14" s="71">
        <f t="shared" si="26"/>
        <v>0</v>
      </c>
      <c r="AW14" s="71">
        <f t="shared" si="26"/>
        <v>0</v>
      </c>
      <c r="AX14" s="71">
        <f t="shared" si="26"/>
        <v>1.416666667</v>
      </c>
      <c r="AY14" s="71">
        <f t="shared" si="26"/>
        <v>2.5</v>
      </c>
      <c r="AZ14" s="71">
        <f t="shared" si="26"/>
        <v>4.25</v>
      </c>
      <c r="BA14" s="71">
        <f t="shared" si="26"/>
        <v>3.75</v>
      </c>
      <c r="BB14" s="71">
        <f t="shared" si="26"/>
        <v>2</v>
      </c>
      <c r="BC14" s="71">
        <f t="shared" si="26"/>
        <v>2.416666667</v>
      </c>
      <c r="BD14" s="71">
        <f t="shared" si="26"/>
        <v>1.416666667</v>
      </c>
      <c r="BE14" s="71">
        <f t="shared" si="26"/>
        <v>2.833333333</v>
      </c>
      <c r="BF14" s="71">
        <f t="shared" si="26"/>
        <v>1.916666667</v>
      </c>
      <c r="BG14" s="71">
        <f t="shared" si="26"/>
        <v>3.583333333</v>
      </c>
      <c r="BH14" s="71">
        <f t="shared" si="26"/>
        <v>1.916666667</v>
      </c>
      <c r="BI14" s="71">
        <f t="shared" si="26"/>
        <v>3.416666667</v>
      </c>
      <c r="BJ14" s="71">
        <f t="shared" si="26"/>
        <v>2.5</v>
      </c>
      <c r="BK14" s="71">
        <f t="shared" si="26"/>
        <v>2.833333333</v>
      </c>
      <c r="BL14" s="71">
        <f t="shared" si="26"/>
        <v>2.083333333</v>
      </c>
      <c r="BM14" s="18">
        <f t="shared" ref="BM14:BM19" si="30">SUM(S14:AG14)+SUM(AX14:BL14)</f>
        <v>80.5</v>
      </c>
      <c r="BN14" s="18"/>
      <c r="BO14" s="31">
        <v>-8.0</v>
      </c>
      <c r="BP14" s="31">
        <v>5.0</v>
      </c>
      <c r="BQ14" s="31">
        <f>SUM(BX113+BX118+BX123)/3</f>
        <v>3.083333333</v>
      </c>
      <c r="BR14" s="31">
        <f t="shared" ref="BR14:BT14" si="27">SUM(BY123+BY118+BY113)/3</f>
        <v>3.3</v>
      </c>
      <c r="BS14" s="31">
        <f t="shared" si="27"/>
        <v>2.866666667</v>
      </c>
      <c r="BT14" s="31">
        <f t="shared" si="27"/>
        <v>3.295555556</v>
      </c>
      <c r="BU14" s="31" t="str">
        <f>SUM(#REF!+#REF!+#REF!)/3</f>
        <v>#REF!</v>
      </c>
      <c r="BV14" s="31">
        <f>SUM(CB123+CB118+CB113)/3</f>
        <v>0</v>
      </c>
      <c r="BW14" s="31">
        <v>1.0</v>
      </c>
      <c r="BX14" s="31">
        <f>SUM(W14+X34+AY56+AF76+W96)/5</f>
        <v>1.966666667</v>
      </c>
      <c r="BY14" s="76"/>
      <c r="BZ14" s="73"/>
      <c r="CA14" s="73"/>
      <c r="CB14" s="73"/>
      <c r="CC14" s="32"/>
      <c r="CD14" s="33"/>
      <c r="CE14" s="32"/>
    </row>
    <row r="15">
      <c r="A15" s="21" t="s">
        <v>140</v>
      </c>
      <c r="B15" s="77">
        <v>1.0</v>
      </c>
      <c r="C15" s="77">
        <v>2.0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>
        <f t="shared" ref="S15:AG15" si="28">Sum(S2:S7)/6</f>
        <v>4.166666667</v>
      </c>
      <c r="T15" s="21">
        <f t="shared" si="28"/>
        <v>4</v>
      </c>
      <c r="U15" s="21">
        <f t="shared" si="28"/>
        <v>1</v>
      </c>
      <c r="V15" s="21">
        <f t="shared" si="28"/>
        <v>3</v>
      </c>
      <c r="W15" s="21">
        <f t="shared" si="28"/>
        <v>2.166666667</v>
      </c>
      <c r="X15" s="21">
        <f t="shared" si="28"/>
        <v>1.666666667</v>
      </c>
      <c r="Y15" s="21">
        <f t="shared" si="28"/>
        <v>1.833333333</v>
      </c>
      <c r="Z15" s="21">
        <f t="shared" si="28"/>
        <v>2.5</v>
      </c>
      <c r="AA15" s="21">
        <f t="shared" si="28"/>
        <v>3.333333333</v>
      </c>
      <c r="AB15" s="21">
        <f t="shared" si="28"/>
        <v>1.833333333</v>
      </c>
      <c r="AC15" s="21">
        <f t="shared" si="28"/>
        <v>5</v>
      </c>
      <c r="AD15" s="21">
        <f t="shared" si="28"/>
        <v>2</v>
      </c>
      <c r="AE15" s="21">
        <f t="shared" si="28"/>
        <v>3.833333333</v>
      </c>
      <c r="AF15" s="21">
        <f t="shared" si="28"/>
        <v>1.833333333</v>
      </c>
      <c r="AG15" s="21">
        <f t="shared" si="28"/>
        <v>4.666666667</v>
      </c>
      <c r="AH15" s="78">
        <v>1.0</v>
      </c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18">
        <f t="shared" ref="AX15:BL15" si="29">Sum(AX2:AX7)/6</f>
        <v>1.5</v>
      </c>
      <c r="AY15" s="18">
        <f t="shared" si="29"/>
        <v>2.333333333</v>
      </c>
      <c r="AZ15" s="18">
        <f t="shared" si="29"/>
        <v>4</v>
      </c>
      <c r="BA15" s="18">
        <f t="shared" si="29"/>
        <v>3.333333333</v>
      </c>
      <c r="BB15" s="18">
        <f t="shared" si="29"/>
        <v>1.833333333</v>
      </c>
      <c r="BC15" s="18">
        <f t="shared" si="29"/>
        <v>2.166666667</v>
      </c>
      <c r="BD15" s="18">
        <f t="shared" si="29"/>
        <v>1.166666667</v>
      </c>
      <c r="BE15" s="18">
        <f t="shared" si="29"/>
        <v>3.333333333</v>
      </c>
      <c r="BF15" s="18">
        <f t="shared" si="29"/>
        <v>2.166666667</v>
      </c>
      <c r="BG15" s="18">
        <f t="shared" si="29"/>
        <v>3.666666667</v>
      </c>
      <c r="BH15" s="18">
        <f t="shared" si="29"/>
        <v>1.5</v>
      </c>
      <c r="BI15" s="18">
        <f t="shared" si="29"/>
        <v>3.833333333</v>
      </c>
      <c r="BJ15" s="18">
        <f t="shared" si="29"/>
        <v>2.166666667</v>
      </c>
      <c r="BK15" s="18">
        <f t="shared" si="29"/>
        <v>2.5</v>
      </c>
      <c r="BL15" s="18">
        <f t="shared" si="29"/>
        <v>2</v>
      </c>
      <c r="BM15" s="18">
        <f t="shared" si="30"/>
        <v>80.33333333</v>
      </c>
      <c r="BN15" s="18">
        <f>SUM(S15:AG15)+SUM(AX16:BL16)</f>
        <v>83</v>
      </c>
      <c r="BO15" s="31"/>
      <c r="BP15" s="31"/>
      <c r="BQ15" s="31"/>
      <c r="BR15" s="31"/>
      <c r="BS15" s="31"/>
      <c r="BT15" s="31"/>
      <c r="BU15" s="31"/>
      <c r="BV15" s="31"/>
      <c r="BW15" s="31">
        <v>1.0</v>
      </c>
      <c r="BX15" s="31"/>
      <c r="BY15" s="18">
        <f>SUM(W15+X41+AY57+AF77+W97)/5</f>
        <v>2.333333333</v>
      </c>
      <c r="BZ15" s="18">
        <f>SUM(W16+X35+AY58+AF78+W98)/5</f>
        <v>1.6</v>
      </c>
      <c r="CA15" s="18">
        <f>SUM(W17+X36+AY59+AF79+W99)/5</f>
        <v>2.293333333</v>
      </c>
      <c r="CB15" s="79"/>
      <c r="CC15" s="32"/>
      <c r="CD15" s="33"/>
      <c r="CE15" s="32"/>
    </row>
    <row r="16">
      <c r="A16" s="21" t="s">
        <v>141</v>
      </c>
      <c r="B16" s="77">
        <v>1.0</v>
      </c>
      <c r="C16" s="77">
        <v>1.0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>
        <f t="shared" ref="S16:AG16" si="31">Sum(S8:S13)/6</f>
        <v>3.666666667</v>
      </c>
      <c r="T16" s="21">
        <f t="shared" si="31"/>
        <v>3</v>
      </c>
      <c r="U16" s="21">
        <f t="shared" si="31"/>
        <v>2.333333333</v>
      </c>
      <c r="V16" s="21">
        <f t="shared" si="31"/>
        <v>2.833333333</v>
      </c>
      <c r="W16" s="21">
        <f t="shared" si="31"/>
        <v>1.833333333</v>
      </c>
      <c r="X16" s="21">
        <f t="shared" si="31"/>
        <v>2.166666667</v>
      </c>
      <c r="Y16" s="21">
        <f t="shared" si="31"/>
        <v>1.833333333</v>
      </c>
      <c r="Z16" s="21">
        <f t="shared" si="31"/>
        <v>1.666666667</v>
      </c>
      <c r="AA16" s="21">
        <f t="shared" si="31"/>
        <v>2.166666667</v>
      </c>
      <c r="AB16" s="21">
        <f t="shared" si="31"/>
        <v>2.333333333</v>
      </c>
      <c r="AC16" s="21">
        <f t="shared" si="31"/>
        <v>4.166666667</v>
      </c>
      <c r="AD16" s="21">
        <f t="shared" si="31"/>
        <v>1.666666667</v>
      </c>
      <c r="AE16" s="21">
        <f t="shared" si="31"/>
        <v>3.666666667</v>
      </c>
      <c r="AF16" s="21">
        <f t="shared" si="31"/>
        <v>2.333333333</v>
      </c>
      <c r="AG16" s="21">
        <f t="shared" si="31"/>
        <v>4.833333333</v>
      </c>
      <c r="AH16" s="78">
        <v>2.0</v>
      </c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18">
        <f t="shared" ref="AX16:BL16" si="32">Sum(AX8:AX13)/6</f>
        <v>1.333333333</v>
      </c>
      <c r="AY16" s="18">
        <f t="shared" si="32"/>
        <v>2.666666667</v>
      </c>
      <c r="AZ16" s="18">
        <f t="shared" si="32"/>
        <v>4.5</v>
      </c>
      <c r="BA16" s="18">
        <f t="shared" si="32"/>
        <v>4.166666667</v>
      </c>
      <c r="BB16" s="18">
        <f t="shared" si="32"/>
        <v>2.166666667</v>
      </c>
      <c r="BC16" s="18">
        <f t="shared" si="32"/>
        <v>2.666666667</v>
      </c>
      <c r="BD16" s="18">
        <f t="shared" si="32"/>
        <v>1.666666667</v>
      </c>
      <c r="BE16" s="18">
        <f t="shared" si="32"/>
        <v>2.333333333</v>
      </c>
      <c r="BF16" s="18">
        <f t="shared" si="32"/>
        <v>1.666666667</v>
      </c>
      <c r="BG16" s="18">
        <f t="shared" si="32"/>
        <v>3.5</v>
      </c>
      <c r="BH16" s="18">
        <f t="shared" si="32"/>
        <v>2.333333333</v>
      </c>
      <c r="BI16" s="18">
        <f t="shared" si="32"/>
        <v>3</v>
      </c>
      <c r="BJ16" s="18">
        <f t="shared" si="32"/>
        <v>2.833333333</v>
      </c>
      <c r="BK16" s="18">
        <f t="shared" si="32"/>
        <v>3.166666667</v>
      </c>
      <c r="BL16" s="18">
        <f t="shared" si="32"/>
        <v>2.166666667</v>
      </c>
      <c r="BM16" s="18">
        <f t="shared" si="30"/>
        <v>80.66666667</v>
      </c>
      <c r="BN16" s="18">
        <f>SUM(S16:AG16)+SUM(AX15:BL15)</f>
        <v>78</v>
      </c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18"/>
      <c r="BZ16" s="18"/>
      <c r="CA16" s="18"/>
      <c r="CB16" s="18"/>
      <c r="CC16" s="32"/>
      <c r="CD16" s="33"/>
      <c r="CE16" s="32"/>
    </row>
    <row r="17">
      <c r="A17" s="21" t="s">
        <v>142</v>
      </c>
      <c r="B17" s="77">
        <v>1.0</v>
      </c>
      <c r="C17" s="77">
        <v>2.0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>
        <f t="shared" ref="S17:BL17" si="33">SUM(S2:S7)/6</f>
        <v>4.166666667</v>
      </c>
      <c r="T17" s="21">
        <f t="shared" si="33"/>
        <v>4</v>
      </c>
      <c r="U17" s="21">
        <f t="shared" si="33"/>
        <v>1</v>
      </c>
      <c r="V17" s="21">
        <f t="shared" si="33"/>
        <v>3</v>
      </c>
      <c r="W17" s="21">
        <f t="shared" si="33"/>
        <v>2.166666667</v>
      </c>
      <c r="X17" s="21">
        <f t="shared" si="33"/>
        <v>1.666666667</v>
      </c>
      <c r="Y17" s="21">
        <f t="shared" si="33"/>
        <v>1.833333333</v>
      </c>
      <c r="Z17" s="21">
        <f t="shared" si="33"/>
        <v>2.5</v>
      </c>
      <c r="AA17" s="21">
        <f t="shared" si="33"/>
        <v>3.333333333</v>
      </c>
      <c r="AB17" s="21">
        <f t="shared" si="33"/>
        <v>1.833333333</v>
      </c>
      <c r="AC17" s="21">
        <f t="shared" si="33"/>
        <v>5</v>
      </c>
      <c r="AD17" s="21">
        <f t="shared" si="33"/>
        <v>2</v>
      </c>
      <c r="AE17" s="21">
        <f t="shared" si="33"/>
        <v>3.833333333</v>
      </c>
      <c r="AF17" s="21">
        <f t="shared" si="33"/>
        <v>1.833333333</v>
      </c>
      <c r="AG17" s="21">
        <f t="shared" si="33"/>
        <v>4.666666667</v>
      </c>
      <c r="AH17" s="21">
        <f t="shared" si="33"/>
        <v>1</v>
      </c>
      <c r="AI17" s="21">
        <f t="shared" si="33"/>
        <v>0</v>
      </c>
      <c r="AJ17" s="21">
        <f t="shared" si="33"/>
        <v>0</v>
      </c>
      <c r="AK17" s="21">
        <f t="shared" si="33"/>
        <v>0</v>
      </c>
      <c r="AL17" s="21">
        <f t="shared" si="33"/>
        <v>0</v>
      </c>
      <c r="AM17" s="21">
        <f t="shared" si="33"/>
        <v>0</v>
      </c>
      <c r="AN17" s="21">
        <f t="shared" si="33"/>
        <v>0</v>
      </c>
      <c r="AO17" s="21">
        <f t="shared" si="33"/>
        <v>0</v>
      </c>
      <c r="AP17" s="21">
        <f t="shared" si="33"/>
        <v>0</v>
      </c>
      <c r="AQ17" s="21">
        <f t="shared" si="33"/>
        <v>0</v>
      </c>
      <c r="AR17" s="21">
        <f t="shared" si="33"/>
        <v>0</v>
      </c>
      <c r="AS17" s="21">
        <f t="shared" si="33"/>
        <v>0</v>
      </c>
      <c r="AT17" s="21">
        <f t="shared" si="33"/>
        <v>0</v>
      </c>
      <c r="AU17" s="21">
        <f t="shared" si="33"/>
        <v>0</v>
      </c>
      <c r="AV17" s="21">
        <f t="shared" si="33"/>
        <v>0</v>
      </c>
      <c r="AW17" s="21">
        <f t="shared" si="33"/>
        <v>0</v>
      </c>
      <c r="AX17" s="21">
        <f t="shared" si="33"/>
        <v>1.5</v>
      </c>
      <c r="AY17" s="21">
        <f t="shared" si="33"/>
        <v>2.333333333</v>
      </c>
      <c r="AZ17" s="21">
        <f t="shared" si="33"/>
        <v>4</v>
      </c>
      <c r="BA17" s="21">
        <f t="shared" si="33"/>
        <v>3.333333333</v>
      </c>
      <c r="BB17" s="21">
        <f t="shared" si="33"/>
        <v>1.833333333</v>
      </c>
      <c r="BC17" s="21">
        <f t="shared" si="33"/>
        <v>2.166666667</v>
      </c>
      <c r="BD17" s="21">
        <f t="shared" si="33"/>
        <v>1.166666667</v>
      </c>
      <c r="BE17" s="21">
        <f t="shared" si="33"/>
        <v>3.333333333</v>
      </c>
      <c r="BF17" s="21">
        <f t="shared" si="33"/>
        <v>2.166666667</v>
      </c>
      <c r="BG17" s="21">
        <f t="shared" si="33"/>
        <v>3.666666667</v>
      </c>
      <c r="BH17" s="21">
        <f t="shared" si="33"/>
        <v>1.5</v>
      </c>
      <c r="BI17" s="21">
        <f t="shared" si="33"/>
        <v>3.833333333</v>
      </c>
      <c r="BJ17" s="21">
        <f t="shared" si="33"/>
        <v>2.166666667</v>
      </c>
      <c r="BK17" s="21">
        <f t="shared" si="33"/>
        <v>2.5</v>
      </c>
      <c r="BL17" s="21">
        <f t="shared" si="33"/>
        <v>2</v>
      </c>
      <c r="BM17" s="18">
        <f t="shared" si="30"/>
        <v>80.33333333</v>
      </c>
      <c r="BN17" s="18">
        <f>SUM(S17:AG17)+SUM(AX18:BL18)</f>
        <v>82.83333333</v>
      </c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18"/>
      <c r="BZ17" s="18"/>
      <c r="CA17" s="18"/>
      <c r="CB17" s="18"/>
      <c r="CC17" s="32"/>
      <c r="CD17" s="33"/>
      <c r="CE17" s="32"/>
    </row>
    <row r="18">
      <c r="A18" s="21" t="s">
        <v>143</v>
      </c>
      <c r="B18" s="77">
        <v>1.0</v>
      </c>
      <c r="C18" s="77">
        <v>1.0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>
        <f t="shared" ref="S18:BL18" si="34">SUM(S10:S13)/4</f>
        <v>4</v>
      </c>
      <c r="T18" s="21">
        <f t="shared" si="34"/>
        <v>3.5</v>
      </c>
      <c r="U18" s="21">
        <f t="shared" si="34"/>
        <v>2.5</v>
      </c>
      <c r="V18" s="21">
        <f t="shared" si="34"/>
        <v>3.25</v>
      </c>
      <c r="W18" s="21">
        <f t="shared" si="34"/>
        <v>1.75</v>
      </c>
      <c r="X18" s="21">
        <f t="shared" si="34"/>
        <v>2.25</v>
      </c>
      <c r="Y18" s="21">
        <f t="shared" si="34"/>
        <v>2.25</v>
      </c>
      <c r="Z18" s="21">
        <f t="shared" si="34"/>
        <v>1.5</v>
      </c>
      <c r="AA18" s="21">
        <f t="shared" si="34"/>
        <v>2.25</v>
      </c>
      <c r="AB18" s="21">
        <f t="shared" si="34"/>
        <v>2.75</v>
      </c>
      <c r="AC18" s="21">
        <f t="shared" si="34"/>
        <v>4.25</v>
      </c>
      <c r="AD18" s="21">
        <f t="shared" si="34"/>
        <v>1.5</v>
      </c>
      <c r="AE18" s="21">
        <f t="shared" si="34"/>
        <v>4.25</v>
      </c>
      <c r="AF18" s="21">
        <f t="shared" si="34"/>
        <v>2.75</v>
      </c>
      <c r="AG18" s="21">
        <f t="shared" si="34"/>
        <v>5</v>
      </c>
      <c r="AH18" s="21">
        <f t="shared" si="34"/>
        <v>2</v>
      </c>
      <c r="AI18" s="21">
        <f t="shared" si="34"/>
        <v>0</v>
      </c>
      <c r="AJ18" s="21">
        <f t="shared" si="34"/>
        <v>0</v>
      </c>
      <c r="AK18" s="21">
        <f t="shared" si="34"/>
        <v>0</v>
      </c>
      <c r="AL18" s="21">
        <f t="shared" si="34"/>
        <v>0</v>
      </c>
      <c r="AM18" s="21">
        <f t="shared" si="34"/>
        <v>0</v>
      </c>
      <c r="AN18" s="21">
        <f t="shared" si="34"/>
        <v>0</v>
      </c>
      <c r="AO18" s="21">
        <f t="shared" si="34"/>
        <v>0</v>
      </c>
      <c r="AP18" s="21">
        <f t="shared" si="34"/>
        <v>0</v>
      </c>
      <c r="AQ18" s="21">
        <f t="shared" si="34"/>
        <v>0</v>
      </c>
      <c r="AR18" s="21">
        <f t="shared" si="34"/>
        <v>0</v>
      </c>
      <c r="AS18" s="21">
        <f t="shared" si="34"/>
        <v>0</v>
      </c>
      <c r="AT18" s="21">
        <f t="shared" si="34"/>
        <v>0</v>
      </c>
      <c r="AU18" s="21">
        <f t="shared" si="34"/>
        <v>0</v>
      </c>
      <c r="AV18" s="21">
        <f t="shared" si="34"/>
        <v>0</v>
      </c>
      <c r="AW18" s="21">
        <f t="shared" si="34"/>
        <v>0</v>
      </c>
      <c r="AX18" s="21">
        <f t="shared" si="34"/>
        <v>1.25</v>
      </c>
      <c r="AY18" s="21">
        <f t="shared" si="34"/>
        <v>2.75</v>
      </c>
      <c r="AZ18" s="21">
        <f t="shared" si="34"/>
        <v>4.5</v>
      </c>
      <c r="BA18" s="21">
        <f t="shared" si="34"/>
        <v>4.25</v>
      </c>
      <c r="BB18" s="21">
        <f t="shared" si="34"/>
        <v>1.75</v>
      </c>
      <c r="BC18" s="21">
        <f t="shared" si="34"/>
        <v>2.75</v>
      </c>
      <c r="BD18" s="21">
        <f t="shared" si="34"/>
        <v>1.75</v>
      </c>
      <c r="BE18" s="21">
        <f t="shared" si="34"/>
        <v>2.75</v>
      </c>
      <c r="BF18" s="21">
        <f t="shared" si="34"/>
        <v>1.5</v>
      </c>
      <c r="BG18" s="21">
        <f t="shared" si="34"/>
        <v>3.75</v>
      </c>
      <c r="BH18" s="21">
        <f t="shared" si="34"/>
        <v>2.25</v>
      </c>
      <c r="BI18" s="21">
        <f t="shared" si="34"/>
        <v>3.25</v>
      </c>
      <c r="BJ18" s="21">
        <f t="shared" si="34"/>
        <v>2.75</v>
      </c>
      <c r="BK18" s="21">
        <f t="shared" si="34"/>
        <v>3</v>
      </c>
      <c r="BL18" s="21">
        <f t="shared" si="34"/>
        <v>1.75</v>
      </c>
      <c r="BM18" s="18">
        <f t="shared" si="30"/>
        <v>83.75</v>
      </c>
      <c r="BN18" s="18">
        <f t="shared" ref="BN18:BN19" si="36">SUM(S18:AG18)+SUM(AX17:BL17)</f>
        <v>81.25</v>
      </c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18"/>
      <c r="BZ18" s="18"/>
      <c r="CA18" s="18"/>
      <c r="CB18" s="18"/>
      <c r="CC18" s="32"/>
      <c r="CD18" s="33"/>
      <c r="CE18" s="32"/>
    </row>
    <row r="19">
      <c r="A19" s="21" t="s">
        <v>144</v>
      </c>
      <c r="B19" s="77">
        <v>1.0</v>
      </c>
      <c r="C19" s="77">
        <v>1.0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>
        <f t="shared" ref="S19:BL19" si="35">SUM(S8:S9)/2</f>
        <v>3</v>
      </c>
      <c r="T19" s="21">
        <f t="shared" si="35"/>
        <v>2</v>
      </c>
      <c r="U19" s="21">
        <f t="shared" si="35"/>
        <v>2</v>
      </c>
      <c r="V19" s="21">
        <f t="shared" si="35"/>
        <v>2</v>
      </c>
      <c r="W19" s="21">
        <f t="shared" si="35"/>
        <v>2</v>
      </c>
      <c r="X19" s="21">
        <f t="shared" si="35"/>
        <v>2</v>
      </c>
      <c r="Y19" s="21">
        <f t="shared" si="35"/>
        <v>1</v>
      </c>
      <c r="Z19" s="21">
        <f t="shared" si="35"/>
        <v>2</v>
      </c>
      <c r="AA19" s="21">
        <f t="shared" si="35"/>
        <v>2</v>
      </c>
      <c r="AB19" s="21">
        <f t="shared" si="35"/>
        <v>1.5</v>
      </c>
      <c r="AC19" s="21">
        <f t="shared" si="35"/>
        <v>4</v>
      </c>
      <c r="AD19" s="21">
        <f t="shared" si="35"/>
        <v>2</v>
      </c>
      <c r="AE19" s="21">
        <f t="shared" si="35"/>
        <v>2.5</v>
      </c>
      <c r="AF19" s="21">
        <f t="shared" si="35"/>
        <v>1.5</v>
      </c>
      <c r="AG19" s="21">
        <f t="shared" si="35"/>
        <v>4.5</v>
      </c>
      <c r="AH19" s="21">
        <f t="shared" si="35"/>
        <v>2</v>
      </c>
      <c r="AI19" s="21">
        <f t="shared" si="35"/>
        <v>0</v>
      </c>
      <c r="AJ19" s="21">
        <f t="shared" si="35"/>
        <v>0</v>
      </c>
      <c r="AK19" s="21">
        <f t="shared" si="35"/>
        <v>0</v>
      </c>
      <c r="AL19" s="21">
        <f t="shared" si="35"/>
        <v>0</v>
      </c>
      <c r="AM19" s="21">
        <f t="shared" si="35"/>
        <v>0</v>
      </c>
      <c r="AN19" s="21">
        <f t="shared" si="35"/>
        <v>0</v>
      </c>
      <c r="AO19" s="21">
        <f t="shared" si="35"/>
        <v>0</v>
      </c>
      <c r="AP19" s="21">
        <f t="shared" si="35"/>
        <v>0</v>
      </c>
      <c r="AQ19" s="21">
        <f t="shared" si="35"/>
        <v>0</v>
      </c>
      <c r="AR19" s="21">
        <f t="shared" si="35"/>
        <v>0</v>
      </c>
      <c r="AS19" s="21">
        <f t="shared" si="35"/>
        <v>0</v>
      </c>
      <c r="AT19" s="21">
        <f t="shared" si="35"/>
        <v>0</v>
      </c>
      <c r="AU19" s="21">
        <f t="shared" si="35"/>
        <v>0</v>
      </c>
      <c r="AV19" s="21">
        <f t="shared" si="35"/>
        <v>0</v>
      </c>
      <c r="AW19" s="21">
        <f t="shared" si="35"/>
        <v>0</v>
      </c>
      <c r="AX19" s="21">
        <f t="shared" si="35"/>
        <v>1.5</v>
      </c>
      <c r="AY19" s="21">
        <f t="shared" si="35"/>
        <v>2.5</v>
      </c>
      <c r="AZ19" s="21">
        <f t="shared" si="35"/>
        <v>4.5</v>
      </c>
      <c r="BA19" s="21">
        <f t="shared" si="35"/>
        <v>4</v>
      </c>
      <c r="BB19" s="21">
        <f t="shared" si="35"/>
        <v>3</v>
      </c>
      <c r="BC19" s="21">
        <f t="shared" si="35"/>
        <v>2.5</v>
      </c>
      <c r="BD19" s="21">
        <f t="shared" si="35"/>
        <v>1.5</v>
      </c>
      <c r="BE19" s="21">
        <f t="shared" si="35"/>
        <v>1.5</v>
      </c>
      <c r="BF19" s="21">
        <f t="shared" si="35"/>
        <v>2</v>
      </c>
      <c r="BG19" s="21">
        <f t="shared" si="35"/>
        <v>3</v>
      </c>
      <c r="BH19" s="21">
        <f t="shared" si="35"/>
        <v>2.5</v>
      </c>
      <c r="BI19" s="21">
        <f t="shared" si="35"/>
        <v>2.5</v>
      </c>
      <c r="BJ19" s="21">
        <f t="shared" si="35"/>
        <v>3</v>
      </c>
      <c r="BK19" s="21">
        <f t="shared" si="35"/>
        <v>3.5</v>
      </c>
      <c r="BL19" s="21">
        <f t="shared" si="35"/>
        <v>3</v>
      </c>
      <c r="BM19" s="18">
        <f t="shared" si="30"/>
        <v>74.5</v>
      </c>
      <c r="BN19" s="18">
        <f t="shared" si="36"/>
        <v>74</v>
      </c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18"/>
      <c r="BZ19" s="18"/>
      <c r="CA19" s="18"/>
      <c r="CB19" s="18"/>
      <c r="CC19" s="32"/>
      <c r="CD19" s="33"/>
      <c r="CE19" s="32"/>
    </row>
    <row r="20">
      <c r="A20" s="21" t="s">
        <v>80</v>
      </c>
      <c r="B20" s="77">
        <v>1.0</v>
      </c>
      <c r="C20" s="77" t="s">
        <v>96</v>
      </c>
      <c r="D20" s="21" t="s">
        <v>76</v>
      </c>
      <c r="E20" s="21" t="s">
        <v>75</v>
      </c>
      <c r="F20" s="21" t="s">
        <v>79</v>
      </c>
      <c r="G20" s="21" t="s">
        <v>78</v>
      </c>
      <c r="H20" s="21" t="s">
        <v>77</v>
      </c>
      <c r="I20" s="21" t="s">
        <v>76</v>
      </c>
      <c r="J20" s="21" t="s">
        <v>77</v>
      </c>
      <c r="K20" s="21" t="s">
        <v>78</v>
      </c>
      <c r="L20" s="21" t="s">
        <v>78</v>
      </c>
      <c r="M20" s="21" t="s">
        <v>77</v>
      </c>
      <c r="N20" s="21" t="s">
        <v>76</v>
      </c>
      <c r="O20" s="21" t="s">
        <v>79</v>
      </c>
      <c r="P20" s="21" t="s">
        <v>76</v>
      </c>
      <c r="Q20" s="21" t="s">
        <v>78</v>
      </c>
      <c r="R20" s="21" t="s">
        <v>75</v>
      </c>
      <c r="S20" s="21">
        <f t="shared" ref="S20:AG20" si="37">COLUMN(INDIRECT(D20&amp;4))</f>
        <v>5</v>
      </c>
      <c r="T20" s="21">
        <f t="shared" si="37"/>
        <v>4</v>
      </c>
      <c r="U20" s="21">
        <f t="shared" si="37"/>
        <v>2</v>
      </c>
      <c r="V20" s="21">
        <f t="shared" si="37"/>
        <v>3</v>
      </c>
      <c r="W20" s="21">
        <f t="shared" si="37"/>
        <v>1</v>
      </c>
      <c r="X20" s="21">
        <f t="shared" si="37"/>
        <v>5</v>
      </c>
      <c r="Y20" s="21">
        <f t="shared" si="37"/>
        <v>1</v>
      </c>
      <c r="Z20" s="21">
        <f t="shared" si="37"/>
        <v>3</v>
      </c>
      <c r="AA20" s="21">
        <f t="shared" si="37"/>
        <v>3</v>
      </c>
      <c r="AB20" s="21">
        <f t="shared" si="37"/>
        <v>1</v>
      </c>
      <c r="AC20" s="21">
        <f t="shared" si="37"/>
        <v>5</v>
      </c>
      <c r="AD20" s="21">
        <f t="shared" si="37"/>
        <v>2</v>
      </c>
      <c r="AE20" s="21">
        <f t="shared" si="37"/>
        <v>5</v>
      </c>
      <c r="AF20" s="21">
        <f t="shared" si="37"/>
        <v>3</v>
      </c>
      <c r="AG20" s="21">
        <f t="shared" si="37"/>
        <v>4</v>
      </c>
      <c r="AH20" s="80" t="s">
        <v>96</v>
      </c>
      <c r="AI20" s="21" t="s">
        <v>79</v>
      </c>
      <c r="AJ20" s="21" t="s">
        <v>75</v>
      </c>
      <c r="AK20" s="21" t="s">
        <v>76</v>
      </c>
      <c r="AL20" s="21" t="s">
        <v>75</v>
      </c>
      <c r="AM20" s="21" t="s">
        <v>75</v>
      </c>
      <c r="AN20" s="21" t="s">
        <v>79</v>
      </c>
      <c r="AO20" s="21" t="s">
        <v>77</v>
      </c>
      <c r="AP20" s="21" t="s">
        <v>76</v>
      </c>
      <c r="AQ20" s="21" t="s">
        <v>77</v>
      </c>
      <c r="AR20" s="21" t="s">
        <v>78</v>
      </c>
      <c r="AS20" s="21" t="s">
        <v>79</v>
      </c>
      <c r="AT20" s="21" t="s">
        <v>75</v>
      </c>
      <c r="AU20" s="21" t="s">
        <v>78</v>
      </c>
      <c r="AV20" s="21" t="s">
        <v>79</v>
      </c>
      <c r="AW20" s="21" t="s">
        <v>77</v>
      </c>
      <c r="AX20" s="18">
        <f t="shared" ref="AX20:BL20" si="38">COLUMN(INDIRECT(AI20&amp;1))</f>
        <v>2</v>
      </c>
      <c r="AY20" s="18">
        <f t="shared" si="38"/>
        <v>4</v>
      </c>
      <c r="AZ20" s="18">
        <f t="shared" si="38"/>
        <v>5</v>
      </c>
      <c r="BA20" s="18">
        <f t="shared" si="38"/>
        <v>4</v>
      </c>
      <c r="BB20" s="18">
        <f t="shared" si="38"/>
        <v>4</v>
      </c>
      <c r="BC20" s="18">
        <f t="shared" si="38"/>
        <v>2</v>
      </c>
      <c r="BD20" s="18">
        <f t="shared" si="38"/>
        <v>1</v>
      </c>
      <c r="BE20" s="18">
        <f t="shared" si="38"/>
        <v>5</v>
      </c>
      <c r="BF20" s="18">
        <f t="shared" si="38"/>
        <v>1</v>
      </c>
      <c r="BG20" s="18">
        <f t="shared" si="38"/>
        <v>3</v>
      </c>
      <c r="BH20" s="18">
        <f t="shared" si="38"/>
        <v>2</v>
      </c>
      <c r="BI20" s="18">
        <f t="shared" si="38"/>
        <v>4</v>
      </c>
      <c r="BJ20" s="18">
        <f t="shared" si="38"/>
        <v>3</v>
      </c>
      <c r="BK20" s="18">
        <f t="shared" si="38"/>
        <v>2</v>
      </c>
      <c r="BL20" s="18">
        <f t="shared" si="38"/>
        <v>1</v>
      </c>
      <c r="BM20" s="81">
        <f>SUM(AX19:BL19)/SUM(AX20:BL20)</f>
        <v>0.9418604651</v>
      </c>
      <c r="BN20" s="79">
        <f>SUM(C19:AG19)/SUM(S20:AG20)</f>
        <v>0.7446808511</v>
      </c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79"/>
      <c r="BZ20" s="79"/>
      <c r="CA20" s="79"/>
      <c r="CB20" s="79"/>
      <c r="CC20" s="32">
        <v>13.0</v>
      </c>
      <c r="CD20" s="33" t="s">
        <v>162</v>
      </c>
      <c r="CE20" s="32" t="s">
        <v>78</v>
      </c>
    </row>
    <row r="21">
      <c r="A21" s="22" t="s">
        <v>97</v>
      </c>
      <c r="B21" s="77">
        <v>1.0</v>
      </c>
      <c r="C21" s="77" t="s">
        <v>96</v>
      </c>
      <c r="D21" s="22">
        <v>10.0</v>
      </c>
      <c r="E21" s="22">
        <v>9.0</v>
      </c>
      <c r="F21" s="22">
        <v>17.0</v>
      </c>
      <c r="G21" s="22">
        <v>8.0</v>
      </c>
      <c r="H21" s="22">
        <v>1.0</v>
      </c>
      <c r="I21" s="22">
        <v>20.0</v>
      </c>
      <c r="J21" s="22">
        <v>6.0</v>
      </c>
      <c r="K21" s="22">
        <v>28.0</v>
      </c>
      <c r="L21" s="22">
        <v>3.0</v>
      </c>
      <c r="M21" s="22">
        <v>16.0</v>
      </c>
      <c r="N21" s="22">
        <v>5.0</v>
      </c>
      <c r="O21" s="22">
        <v>12.0</v>
      </c>
      <c r="P21" s="22">
        <v>30.0</v>
      </c>
      <c r="Q21" s="22">
        <v>18.0</v>
      </c>
      <c r="R21" s="22">
        <v>4.0</v>
      </c>
      <c r="S21" s="77">
        <v>10.0</v>
      </c>
      <c r="T21" s="77">
        <v>9.0</v>
      </c>
      <c r="U21" s="77">
        <v>17.0</v>
      </c>
      <c r="V21" s="77">
        <v>8.0</v>
      </c>
      <c r="W21" s="77">
        <v>1.0</v>
      </c>
      <c r="X21" s="77">
        <v>20.0</v>
      </c>
      <c r="Y21" s="77">
        <v>6.0</v>
      </c>
      <c r="Z21" s="77">
        <v>28.0</v>
      </c>
      <c r="AA21" s="77">
        <v>3.0</v>
      </c>
      <c r="AB21" s="77">
        <v>16.0</v>
      </c>
      <c r="AC21" s="77">
        <v>5.0</v>
      </c>
      <c r="AD21" s="77">
        <v>12.0</v>
      </c>
      <c r="AE21" s="77">
        <v>30.0</v>
      </c>
      <c r="AF21" s="77">
        <v>18.0</v>
      </c>
      <c r="AG21" s="77">
        <v>4.0</v>
      </c>
      <c r="AH21" s="80" t="s">
        <v>96</v>
      </c>
      <c r="AI21" s="22">
        <v>22.0</v>
      </c>
      <c r="AJ21" s="22">
        <v>24.0</v>
      </c>
      <c r="AK21" s="22">
        <v>15.0</v>
      </c>
      <c r="AL21" s="22">
        <v>14.0</v>
      </c>
      <c r="AM21" s="22">
        <v>19.0</v>
      </c>
      <c r="AN21" s="22">
        <v>2.0</v>
      </c>
      <c r="AO21" s="22">
        <v>21.0</v>
      </c>
      <c r="AP21" s="22">
        <v>25.0</v>
      </c>
      <c r="AQ21" s="22">
        <v>11.0</v>
      </c>
      <c r="AR21" s="22">
        <v>13.0</v>
      </c>
      <c r="AS21" s="22">
        <v>27.0</v>
      </c>
      <c r="AT21" s="22">
        <v>29.0</v>
      </c>
      <c r="AU21" s="22">
        <v>23.0</v>
      </c>
      <c r="AV21" s="22">
        <v>7.0</v>
      </c>
      <c r="AW21" s="22">
        <v>26.0</v>
      </c>
      <c r="AX21" s="77">
        <v>22.0</v>
      </c>
      <c r="AY21" s="77">
        <v>24.0</v>
      </c>
      <c r="AZ21" s="77">
        <v>15.0</v>
      </c>
      <c r="BA21" s="77">
        <v>14.0</v>
      </c>
      <c r="BB21" s="77">
        <v>19.0</v>
      </c>
      <c r="BC21" s="77">
        <v>2.0</v>
      </c>
      <c r="BD21" s="77">
        <v>21.0</v>
      </c>
      <c r="BE21" s="77">
        <v>25.0</v>
      </c>
      <c r="BF21" s="77">
        <v>11.0</v>
      </c>
      <c r="BG21" s="77">
        <v>13.0</v>
      </c>
      <c r="BH21" s="77">
        <v>27.0</v>
      </c>
      <c r="BI21" s="77">
        <v>29.0</v>
      </c>
      <c r="BJ21" s="77">
        <v>23.0</v>
      </c>
      <c r="BK21" s="77">
        <v>7.0</v>
      </c>
      <c r="BL21" s="77">
        <v>26.0</v>
      </c>
      <c r="BM21" s="82">
        <f>SUM(AX20:BL20)</f>
        <v>43</v>
      </c>
      <c r="BN21" s="77">
        <f>90-BM21</f>
        <v>47</v>
      </c>
      <c r="BO21" s="30">
        <v>-6.0</v>
      </c>
      <c r="BP21" s="30">
        <v>4.0</v>
      </c>
      <c r="BQ21" s="31">
        <f t="shared" ref="BQ21:BT21" si="39">SUM(BX122+BX117+BX112)/3</f>
        <v>2.65</v>
      </c>
      <c r="BR21" s="31">
        <f t="shared" si="39"/>
        <v>2.888888889</v>
      </c>
      <c r="BS21" s="31">
        <f t="shared" si="39"/>
        <v>2.677777778</v>
      </c>
      <c r="BT21" s="31">
        <f t="shared" si="39"/>
        <v>2.851111111</v>
      </c>
      <c r="BU21" s="31" t="str">
        <f>SUM(#REF!+#REF!+#REF!)/3</f>
        <v>#REF!</v>
      </c>
      <c r="BV21" s="31">
        <f>SUM(CB122+CB117+CB112)/3</f>
        <v>0</v>
      </c>
      <c r="BW21" s="31">
        <v>2.0</v>
      </c>
      <c r="BX21" s="31">
        <f>SUM(BC14+BI34+AC56+BB76+BC96)/5</f>
        <v>2.233333333</v>
      </c>
      <c r="BY21" s="77">
        <f>SUM(BC15+BI41+AC57+BB77+BC97)/5</f>
        <v>2.433333333</v>
      </c>
      <c r="BZ21" s="77">
        <f>SUM(BC16+BI35+AC58+BB78+BC98)/5</f>
        <v>2.033333333</v>
      </c>
      <c r="CA21" s="77">
        <f>SUM(BC17+BI36+AC59+BB79+BC99)/5</f>
        <v>2.36</v>
      </c>
      <c r="CB21" s="83"/>
      <c r="CC21" s="32">
        <v>14.0</v>
      </c>
      <c r="CD21" s="33" t="s">
        <v>163</v>
      </c>
      <c r="CE21" s="32" t="s">
        <v>75</v>
      </c>
    </row>
    <row r="22">
      <c r="A22" s="84" t="s">
        <v>82</v>
      </c>
      <c r="B22" s="85">
        <v>2.0</v>
      </c>
      <c r="C22" s="85">
        <v>2.0</v>
      </c>
      <c r="D22" s="27" t="s">
        <v>76</v>
      </c>
      <c r="E22" s="27" t="s">
        <v>75</v>
      </c>
      <c r="F22" s="27" t="s">
        <v>77</v>
      </c>
      <c r="G22" s="27" t="s">
        <v>79</v>
      </c>
      <c r="H22" s="27" t="s">
        <v>79</v>
      </c>
      <c r="I22" s="27" t="s">
        <v>78</v>
      </c>
      <c r="J22" s="27" t="s">
        <v>78</v>
      </c>
      <c r="K22" s="27" t="s">
        <v>75</v>
      </c>
      <c r="L22" s="27" t="s">
        <v>79</v>
      </c>
      <c r="M22" s="27" t="s">
        <v>77</v>
      </c>
      <c r="N22" s="27" t="s">
        <v>76</v>
      </c>
      <c r="O22" s="27" t="s">
        <v>75</v>
      </c>
      <c r="P22" s="27" t="s">
        <v>77</v>
      </c>
      <c r="Q22" s="27" t="s">
        <v>76</v>
      </c>
      <c r="R22" s="27" t="s">
        <v>75</v>
      </c>
      <c r="S22" s="86">
        <f t="shared" ref="S22:AG22" si="40">COLUMN(INDIRECT(D22&amp;4))</f>
        <v>5</v>
      </c>
      <c r="T22" s="86">
        <f t="shared" si="40"/>
        <v>4</v>
      </c>
      <c r="U22" s="86">
        <f t="shared" si="40"/>
        <v>1</v>
      </c>
      <c r="V22" s="86">
        <f t="shared" si="40"/>
        <v>2</v>
      </c>
      <c r="W22" s="86">
        <f t="shared" si="40"/>
        <v>2</v>
      </c>
      <c r="X22" s="86">
        <f t="shared" si="40"/>
        <v>3</v>
      </c>
      <c r="Y22" s="86">
        <f t="shared" si="40"/>
        <v>3</v>
      </c>
      <c r="Z22" s="86">
        <f t="shared" si="40"/>
        <v>4</v>
      </c>
      <c r="AA22" s="86">
        <f t="shared" si="40"/>
        <v>2</v>
      </c>
      <c r="AB22" s="86">
        <f t="shared" si="40"/>
        <v>1</v>
      </c>
      <c r="AC22" s="86">
        <f t="shared" si="40"/>
        <v>5</v>
      </c>
      <c r="AD22" s="86">
        <f t="shared" si="40"/>
        <v>4</v>
      </c>
      <c r="AE22" s="86">
        <f t="shared" si="40"/>
        <v>1</v>
      </c>
      <c r="AF22" s="86">
        <f t="shared" si="40"/>
        <v>5</v>
      </c>
      <c r="AG22" s="86">
        <f t="shared" si="40"/>
        <v>4</v>
      </c>
      <c r="AH22" s="26" t="s">
        <v>77</v>
      </c>
      <c r="AI22" s="27" t="s">
        <v>77</v>
      </c>
      <c r="AJ22" s="27" t="s">
        <v>79</v>
      </c>
      <c r="AK22" s="27" t="s">
        <v>78</v>
      </c>
      <c r="AL22" s="27" t="s">
        <v>79</v>
      </c>
      <c r="AM22" s="27" t="s">
        <v>78</v>
      </c>
      <c r="AN22" s="27" t="s">
        <v>76</v>
      </c>
      <c r="AO22" s="27" t="s">
        <v>78</v>
      </c>
      <c r="AP22" s="27" t="s">
        <v>75</v>
      </c>
      <c r="AQ22" s="27" t="s">
        <v>78</v>
      </c>
      <c r="AR22" s="27" t="s">
        <v>79</v>
      </c>
      <c r="AS22" s="27" t="s">
        <v>79</v>
      </c>
      <c r="AT22" s="27" t="s">
        <v>77</v>
      </c>
      <c r="AU22" s="27" t="s">
        <v>78</v>
      </c>
      <c r="AV22" s="27" t="s">
        <v>75</v>
      </c>
      <c r="AW22" s="27" t="s">
        <v>76</v>
      </c>
      <c r="AX22" s="28">
        <f t="shared" ref="AX22:BL22" si="41">COLUMN(INDIRECT(AI22&amp;1))</f>
        <v>1</v>
      </c>
      <c r="AY22" s="28">
        <f t="shared" si="41"/>
        <v>2</v>
      </c>
      <c r="AZ22" s="28">
        <f t="shared" si="41"/>
        <v>3</v>
      </c>
      <c r="BA22" s="28">
        <f t="shared" si="41"/>
        <v>2</v>
      </c>
      <c r="BB22" s="28">
        <f t="shared" si="41"/>
        <v>3</v>
      </c>
      <c r="BC22" s="28">
        <f t="shared" si="41"/>
        <v>5</v>
      </c>
      <c r="BD22" s="28">
        <f t="shared" si="41"/>
        <v>3</v>
      </c>
      <c r="BE22" s="28">
        <f t="shared" si="41"/>
        <v>4</v>
      </c>
      <c r="BF22" s="28">
        <f t="shared" si="41"/>
        <v>3</v>
      </c>
      <c r="BG22" s="28">
        <f t="shared" si="41"/>
        <v>2</v>
      </c>
      <c r="BH22" s="28">
        <f t="shared" si="41"/>
        <v>2</v>
      </c>
      <c r="BI22" s="28">
        <f t="shared" si="41"/>
        <v>1</v>
      </c>
      <c r="BJ22" s="28">
        <f t="shared" si="41"/>
        <v>3</v>
      </c>
      <c r="BK22" s="28">
        <f t="shared" si="41"/>
        <v>4</v>
      </c>
      <c r="BL22" s="28">
        <f t="shared" si="41"/>
        <v>5</v>
      </c>
      <c r="BM22" s="29"/>
      <c r="BN22" s="28"/>
      <c r="BO22" s="30"/>
      <c r="BP22" s="30"/>
      <c r="BQ22" s="31"/>
      <c r="BR22" s="31"/>
      <c r="BS22" s="31"/>
      <c r="BT22" s="31"/>
      <c r="BU22" s="31"/>
      <c r="BV22" s="31"/>
      <c r="BW22" s="31"/>
      <c r="BX22" s="31"/>
      <c r="BY22" s="28"/>
      <c r="BZ22" s="28"/>
      <c r="CA22" s="28"/>
      <c r="CB22" s="28"/>
      <c r="CC22" s="32">
        <v>15.0</v>
      </c>
      <c r="CD22" s="33" t="s">
        <v>83</v>
      </c>
      <c r="CE22" s="32" t="s">
        <v>76</v>
      </c>
    </row>
    <row r="23">
      <c r="A23" s="84" t="s">
        <v>84</v>
      </c>
      <c r="B23" s="85">
        <v>2.0</v>
      </c>
      <c r="C23" s="85">
        <v>2.0</v>
      </c>
      <c r="D23" s="27" t="s">
        <v>76</v>
      </c>
      <c r="E23" s="27" t="s">
        <v>78</v>
      </c>
      <c r="F23" s="27" t="s">
        <v>79</v>
      </c>
      <c r="G23" s="27" t="s">
        <v>75</v>
      </c>
      <c r="H23" s="27" t="s">
        <v>79</v>
      </c>
      <c r="I23" s="27" t="s">
        <v>79</v>
      </c>
      <c r="J23" s="27" t="s">
        <v>76</v>
      </c>
      <c r="K23" s="27" t="s">
        <v>78</v>
      </c>
      <c r="L23" s="27" t="s">
        <v>78</v>
      </c>
      <c r="M23" s="27" t="s">
        <v>75</v>
      </c>
      <c r="N23" s="27" t="s">
        <v>79</v>
      </c>
      <c r="O23" s="27" t="s">
        <v>75</v>
      </c>
      <c r="P23" s="27" t="s">
        <v>79</v>
      </c>
      <c r="Q23" s="27" t="s">
        <v>76</v>
      </c>
      <c r="R23" s="27" t="s">
        <v>76</v>
      </c>
      <c r="S23" s="86">
        <f t="shared" ref="S23:AG23" si="42">COLUMN(INDIRECT(D23&amp;4))</f>
        <v>5</v>
      </c>
      <c r="T23" s="86">
        <f t="shared" si="42"/>
        <v>3</v>
      </c>
      <c r="U23" s="86">
        <f t="shared" si="42"/>
        <v>2</v>
      </c>
      <c r="V23" s="86">
        <f t="shared" si="42"/>
        <v>4</v>
      </c>
      <c r="W23" s="86">
        <f t="shared" si="42"/>
        <v>2</v>
      </c>
      <c r="X23" s="86">
        <f t="shared" si="42"/>
        <v>2</v>
      </c>
      <c r="Y23" s="86">
        <f t="shared" si="42"/>
        <v>5</v>
      </c>
      <c r="Z23" s="86">
        <f t="shared" si="42"/>
        <v>3</v>
      </c>
      <c r="AA23" s="86">
        <f t="shared" si="42"/>
        <v>3</v>
      </c>
      <c r="AB23" s="86">
        <f t="shared" si="42"/>
        <v>4</v>
      </c>
      <c r="AC23" s="86">
        <f t="shared" si="42"/>
        <v>2</v>
      </c>
      <c r="AD23" s="86">
        <f t="shared" si="42"/>
        <v>4</v>
      </c>
      <c r="AE23" s="86">
        <f t="shared" si="42"/>
        <v>2</v>
      </c>
      <c r="AF23" s="86">
        <f t="shared" si="42"/>
        <v>5</v>
      </c>
      <c r="AG23" s="86">
        <f t="shared" si="42"/>
        <v>5</v>
      </c>
      <c r="AH23" s="26" t="s">
        <v>77</v>
      </c>
      <c r="AI23" s="27" t="s">
        <v>79</v>
      </c>
      <c r="AJ23" s="27" t="s">
        <v>75</v>
      </c>
      <c r="AK23" s="27" t="s">
        <v>78</v>
      </c>
      <c r="AL23" s="27" t="s">
        <v>75</v>
      </c>
      <c r="AM23" s="27" t="s">
        <v>77</v>
      </c>
      <c r="AN23" s="27" t="s">
        <v>76</v>
      </c>
      <c r="AO23" s="27" t="s">
        <v>77</v>
      </c>
      <c r="AP23" s="27" t="s">
        <v>75</v>
      </c>
      <c r="AQ23" s="27" t="s">
        <v>79</v>
      </c>
      <c r="AR23" s="27" t="s">
        <v>78</v>
      </c>
      <c r="AS23" s="27" t="s">
        <v>77</v>
      </c>
      <c r="AT23" s="27" t="s">
        <v>79</v>
      </c>
      <c r="AU23" s="27" t="s">
        <v>79</v>
      </c>
      <c r="AV23" s="27" t="s">
        <v>79</v>
      </c>
      <c r="AW23" s="27" t="s">
        <v>78</v>
      </c>
      <c r="AX23" s="28">
        <f t="shared" ref="AX23:BL23" si="43">COLUMN(INDIRECT(AI23&amp;1))</f>
        <v>2</v>
      </c>
      <c r="AY23" s="28">
        <f t="shared" si="43"/>
        <v>4</v>
      </c>
      <c r="AZ23" s="28">
        <f t="shared" si="43"/>
        <v>3</v>
      </c>
      <c r="BA23" s="28">
        <f t="shared" si="43"/>
        <v>4</v>
      </c>
      <c r="BB23" s="28">
        <f t="shared" si="43"/>
        <v>1</v>
      </c>
      <c r="BC23" s="28">
        <f t="shared" si="43"/>
        <v>5</v>
      </c>
      <c r="BD23" s="28">
        <f t="shared" si="43"/>
        <v>1</v>
      </c>
      <c r="BE23" s="28">
        <f t="shared" si="43"/>
        <v>4</v>
      </c>
      <c r="BF23" s="28">
        <f t="shared" si="43"/>
        <v>2</v>
      </c>
      <c r="BG23" s="28">
        <f t="shared" si="43"/>
        <v>3</v>
      </c>
      <c r="BH23" s="28">
        <f t="shared" si="43"/>
        <v>1</v>
      </c>
      <c r="BI23" s="28">
        <f t="shared" si="43"/>
        <v>2</v>
      </c>
      <c r="BJ23" s="28">
        <f t="shared" si="43"/>
        <v>2</v>
      </c>
      <c r="BK23" s="28">
        <f t="shared" si="43"/>
        <v>2</v>
      </c>
      <c r="BL23" s="28">
        <f t="shared" si="43"/>
        <v>3</v>
      </c>
      <c r="BM23" s="28"/>
      <c r="BN23" s="28"/>
      <c r="BO23" s="30"/>
      <c r="BP23" s="30"/>
      <c r="BQ23" s="31"/>
      <c r="BR23" s="31"/>
      <c r="BS23" s="31"/>
      <c r="BT23" s="31"/>
      <c r="BU23" s="31"/>
      <c r="BV23" s="31"/>
      <c r="BW23" s="31"/>
      <c r="BX23" s="31"/>
      <c r="BY23" s="28"/>
      <c r="BZ23" s="28"/>
      <c r="CA23" s="28"/>
      <c r="CB23" s="28"/>
      <c r="CC23" s="32">
        <v>16.0</v>
      </c>
      <c r="CD23" s="33" t="s">
        <v>85</v>
      </c>
      <c r="CE23" s="32" t="s">
        <v>77</v>
      </c>
    </row>
    <row r="24">
      <c r="A24" s="84" t="s">
        <v>34</v>
      </c>
      <c r="B24" s="85">
        <v>2.0</v>
      </c>
      <c r="C24" s="85">
        <v>2.0</v>
      </c>
      <c r="D24" s="27" t="s">
        <v>76</v>
      </c>
      <c r="E24" s="27" t="s">
        <v>75</v>
      </c>
      <c r="F24" s="27" t="s">
        <v>77</v>
      </c>
      <c r="G24" s="27" t="s">
        <v>77</v>
      </c>
      <c r="H24" s="27" t="s">
        <v>78</v>
      </c>
      <c r="I24" s="27" t="s">
        <v>76</v>
      </c>
      <c r="J24" s="27" t="s">
        <v>76</v>
      </c>
      <c r="K24" s="27" t="s">
        <v>79</v>
      </c>
      <c r="L24" s="27" t="s">
        <v>79</v>
      </c>
      <c r="M24" s="27" t="s">
        <v>75</v>
      </c>
      <c r="N24" s="27" t="s">
        <v>78</v>
      </c>
      <c r="O24" s="27" t="s">
        <v>75</v>
      </c>
      <c r="P24" s="27" t="s">
        <v>78</v>
      </c>
      <c r="Q24" s="27" t="s">
        <v>75</v>
      </c>
      <c r="R24" s="27" t="s">
        <v>76</v>
      </c>
      <c r="S24" s="86">
        <f t="shared" ref="S24:AG24" si="44">COLUMN(INDIRECT(D24&amp;4))</f>
        <v>5</v>
      </c>
      <c r="T24" s="86">
        <f t="shared" si="44"/>
        <v>4</v>
      </c>
      <c r="U24" s="86">
        <f t="shared" si="44"/>
        <v>1</v>
      </c>
      <c r="V24" s="86">
        <f t="shared" si="44"/>
        <v>1</v>
      </c>
      <c r="W24" s="86">
        <f t="shared" si="44"/>
        <v>3</v>
      </c>
      <c r="X24" s="86">
        <f t="shared" si="44"/>
        <v>5</v>
      </c>
      <c r="Y24" s="86">
        <f t="shared" si="44"/>
        <v>5</v>
      </c>
      <c r="Z24" s="86">
        <f t="shared" si="44"/>
        <v>2</v>
      </c>
      <c r="AA24" s="86">
        <f t="shared" si="44"/>
        <v>2</v>
      </c>
      <c r="AB24" s="86">
        <f t="shared" si="44"/>
        <v>4</v>
      </c>
      <c r="AC24" s="86">
        <f t="shared" si="44"/>
        <v>3</v>
      </c>
      <c r="AD24" s="86">
        <f t="shared" si="44"/>
        <v>4</v>
      </c>
      <c r="AE24" s="86">
        <f t="shared" si="44"/>
        <v>3</v>
      </c>
      <c r="AF24" s="86">
        <f t="shared" si="44"/>
        <v>4</v>
      </c>
      <c r="AG24" s="86">
        <f t="shared" si="44"/>
        <v>5</v>
      </c>
      <c r="AH24" s="26" t="s">
        <v>77</v>
      </c>
      <c r="AI24" s="27" t="s">
        <v>77</v>
      </c>
      <c r="AJ24" s="27" t="s">
        <v>78</v>
      </c>
      <c r="AK24" s="27" t="s">
        <v>76</v>
      </c>
      <c r="AL24" s="27" t="s">
        <v>75</v>
      </c>
      <c r="AM24" s="27" t="s">
        <v>77</v>
      </c>
      <c r="AN24" s="27" t="s">
        <v>76</v>
      </c>
      <c r="AO24" s="27" t="s">
        <v>77</v>
      </c>
      <c r="AP24" s="27" t="s">
        <v>75</v>
      </c>
      <c r="AQ24" s="27" t="s">
        <v>78</v>
      </c>
      <c r="AR24" s="27" t="s">
        <v>78</v>
      </c>
      <c r="AS24" s="27" t="s">
        <v>79</v>
      </c>
      <c r="AT24" s="27" t="s">
        <v>75</v>
      </c>
      <c r="AU24" s="27" t="s">
        <v>77</v>
      </c>
      <c r="AV24" s="27" t="s">
        <v>79</v>
      </c>
      <c r="AW24" s="27" t="s">
        <v>76</v>
      </c>
      <c r="AX24" s="28">
        <f t="shared" ref="AX24:BL24" si="45">COLUMN(INDIRECT(AI24&amp;1))</f>
        <v>1</v>
      </c>
      <c r="AY24" s="28">
        <f t="shared" si="45"/>
        <v>3</v>
      </c>
      <c r="AZ24" s="28">
        <f t="shared" si="45"/>
        <v>5</v>
      </c>
      <c r="BA24" s="28">
        <f t="shared" si="45"/>
        <v>4</v>
      </c>
      <c r="BB24" s="28">
        <f t="shared" si="45"/>
        <v>1</v>
      </c>
      <c r="BC24" s="28">
        <f t="shared" si="45"/>
        <v>5</v>
      </c>
      <c r="BD24" s="28">
        <f t="shared" si="45"/>
        <v>1</v>
      </c>
      <c r="BE24" s="28">
        <f t="shared" si="45"/>
        <v>4</v>
      </c>
      <c r="BF24" s="28">
        <f t="shared" si="45"/>
        <v>3</v>
      </c>
      <c r="BG24" s="28">
        <f t="shared" si="45"/>
        <v>3</v>
      </c>
      <c r="BH24" s="28">
        <f t="shared" si="45"/>
        <v>2</v>
      </c>
      <c r="BI24" s="28">
        <f t="shared" si="45"/>
        <v>4</v>
      </c>
      <c r="BJ24" s="28">
        <f t="shared" si="45"/>
        <v>1</v>
      </c>
      <c r="BK24" s="28">
        <f t="shared" si="45"/>
        <v>2</v>
      </c>
      <c r="BL24" s="28">
        <f t="shared" si="45"/>
        <v>5</v>
      </c>
      <c r="BM24" s="28"/>
      <c r="BN24" s="28"/>
      <c r="BO24" s="30"/>
      <c r="BP24" s="30"/>
      <c r="BQ24" s="31"/>
      <c r="BR24" s="31"/>
      <c r="BS24" s="31"/>
      <c r="BT24" s="31"/>
      <c r="BU24" s="31"/>
      <c r="BV24" s="31"/>
      <c r="BW24" s="31"/>
      <c r="BX24" s="31"/>
      <c r="BY24" s="28"/>
      <c r="BZ24" s="28"/>
      <c r="CA24" s="28"/>
      <c r="CB24" s="28"/>
      <c r="CC24" s="32">
        <v>17.0</v>
      </c>
      <c r="CD24" s="33" t="s">
        <v>86</v>
      </c>
      <c r="CE24" s="32" t="s">
        <v>79</v>
      </c>
    </row>
    <row r="25">
      <c r="A25" s="84" t="s">
        <v>35</v>
      </c>
      <c r="B25" s="85">
        <v>2.0</v>
      </c>
      <c r="C25" s="85">
        <v>2.0</v>
      </c>
      <c r="D25" s="27" t="s">
        <v>78</v>
      </c>
      <c r="E25" s="27" t="s">
        <v>78</v>
      </c>
      <c r="F25" s="27" t="s">
        <v>77</v>
      </c>
      <c r="G25" s="27" t="s">
        <v>77</v>
      </c>
      <c r="H25" s="27" t="s">
        <v>77</v>
      </c>
      <c r="I25" s="27" t="s">
        <v>77</v>
      </c>
      <c r="J25" s="27" t="s">
        <v>75</v>
      </c>
      <c r="K25" s="27" t="s">
        <v>77</v>
      </c>
      <c r="L25" s="27" t="s">
        <v>77</v>
      </c>
      <c r="M25" s="27" t="s">
        <v>76</v>
      </c>
      <c r="N25" s="27" t="s">
        <v>77</v>
      </c>
      <c r="O25" s="27" t="s">
        <v>78</v>
      </c>
      <c r="P25" s="27" t="s">
        <v>78</v>
      </c>
      <c r="Q25" s="27" t="s">
        <v>75</v>
      </c>
      <c r="R25" s="27" t="s">
        <v>76</v>
      </c>
      <c r="S25" s="86">
        <f t="shared" ref="S25:AG25" si="46">COLUMN(INDIRECT(D25&amp;4))</f>
        <v>3</v>
      </c>
      <c r="T25" s="86">
        <f t="shared" si="46"/>
        <v>3</v>
      </c>
      <c r="U25" s="86">
        <f t="shared" si="46"/>
        <v>1</v>
      </c>
      <c r="V25" s="86">
        <f t="shared" si="46"/>
        <v>1</v>
      </c>
      <c r="W25" s="86">
        <f t="shared" si="46"/>
        <v>1</v>
      </c>
      <c r="X25" s="86">
        <f t="shared" si="46"/>
        <v>1</v>
      </c>
      <c r="Y25" s="86">
        <f t="shared" si="46"/>
        <v>4</v>
      </c>
      <c r="Z25" s="86">
        <f t="shared" si="46"/>
        <v>1</v>
      </c>
      <c r="AA25" s="86">
        <f t="shared" si="46"/>
        <v>1</v>
      </c>
      <c r="AB25" s="86">
        <f t="shared" si="46"/>
        <v>5</v>
      </c>
      <c r="AC25" s="86">
        <f t="shared" si="46"/>
        <v>1</v>
      </c>
      <c r="AD25" s="86">
        <f t="shared" si="46"/>
        <v>3</v>
      </c>
      <c r="AE25" s="86">
        <f t="shared" si="46"/>
        <v>3</v>
      </c>
      <c r="AF25" s="86">
        <f t="shared" si="46"/>
        <v>4</v>
      </c>
      <c r="AG25" s="86">
        <f t="shared" si="46"/>
        <v>5</v>
      </c>
      <c r="AH25" s="26" t="s">
        <v>77</v>
      </c>
      <c r="AI25" s="27" t="s">
        <v>77</v>
      </c>
      <c r="AJ25" s="27" t="s">
        <v>79</v>
      </c>
      <c r="AK25" s="27" t="s">
        <v>76</v>
      </c>
      <c r="AL25" s="27" t="s">
        <v>76</v>
      </c>
      <c r="AM25" s="27" t="s">
        <v>77</v>
      </c>
      <c r="AN25" s="27" t="s">
        <v>75</v>
      </c>
      <c r="AO25" s="27" t="s">
        <v>77</v>
      </c>
      <c r="AP25" s="27" t="s">
        <v>76</v>
      </c>
      <c r="AQ25" s="27" t="s">
        <v>79</v>
      </c>
      <c r="AR25" s="27" t="s">
        <v>76</v>
      </c>
      <c r="AS25" s="27" t="s">
        <v>77</v>
      </c>
      <c r="AT25" s="27" t="s">
        <v>78</v>
      </c>
      <c r="AU25" s="27" t="s">
        <v>79</v>
      </c>
      <c r="AV25" s="27" t="s">
        <v>77</v>
      </c>
      <c r="AW25" s="27" t="s">
        <v>75</v>
      </c>
      <c r="AX25" s="28">
        <f t="shared" ref="AX25:BL25" si="47">COLUMN(INDIRECT(AI25&amp;1))</f>
        <v>1</v>
      </c>
      <c r="AY25" s="28">
        <f t="shared" si="47"/>
        <v>2</v>
      </c>
      <c r="AZ25" s="28">
        <f t="shared" si="47"/>
        <v>5</v>
      </c>
      <c r="BA25" s="28">
        <f t="shared" si="47"/>
        <v>5</v>
      </c>
      <c r="BB25" s="28">
        <f t="shared" si="47"/>
        <v>1</v>
      </c>
      <c r="BC25" s="28">
        <f t="shared" si="47"/>
        <v>4</v>
      </c>
      <c r="BD25" s="28">
        <f t="shared" si="47"/>
        <v>1</v>
      </c>
      <c r="BE25" s="28">
        <f t="shared" si="47"/>
        <v>5</v>
      </c>
      <c r="BF25" s="28">
        <f t="shared" si="47"/>
        <v>2</v>
      </c>
      <c r="BG25" s="28">
        <f t="shared" si="47"/>
        <v>5</v>
      </c>
      <c r="BH25" s="28">
        <f t="shared" si="47"/>
        <v>1</v>
      </c>
      <c r="BI25" s="28">
        <f t="shared" si="47"/>
        <v>3</v>
      </c>
      <c r="BJ25" s="28">
        <f t="shared" si="47"/>
        <v>2</v>
      </c>
      <c r="BK25" s="28">
        <f t="shared" si="47"/>
        <v>1</v>
      </c>
      <c r="BL25" s="28">
        <f t="shared" si="47"/>
        <v>4</v>
      </c>
      <c r="BM25" s="28"/>
      <c r="BN25" s="28"/>
      <c r="BO25" s="30"/>
      <c r="BP25" s="30"/>
      <c r="BQ25" s="31"/>
      <c r="BR25" s="31"/>
      <c r="BS25" s="31"/>
      <c r="BT25" s="31"/>
      <c r="BU25" s="31"/>
      <c r="BV25" s="31"/>
      <c r="BW25" s="31"/>
      <c r="BX25" s="31"/>
      <c r="BY25" s="28"/>
      <c r="BZ25" s="28"/>
      <c r="CA25" s="28"/>
      <c r="CB25" s="28"/>
      <c r="CC25" s="32">
        <v>18.0</v>
      </c>
      <c r="CD25" s="33" t="s">
        <v>87</v>
      </c>
      <c r="CE25" s="32" t="s">
        <v>78</v>
      </c>
    </row>
    <row r="26">
      <c r="A26" s="84" t="s">
        <v>36</v>
      </c>
      <c r="B26" s="85">
        <v>2.0</v>
      </c>
      <c r="C26" s="85">
        <v>2.0</v>
      </c>
      <c r="D26" s="27" t="s">
        <v>75</v>
      </c>
      <c r="E26" s="27" t="s">
        <v>77</v>
      </c>
      <c r="F26" s="27" t="s">
        <v>79</v>
      </c>
      <c r="G26" s="27" t="s">
        <v>79</v>
      </c>
      <c r="H26" s="27" t="s">
        <v>77</v>
      </c>
      <c r="I26" s="27" t="s">
        <v>78</v>
      </c>
      <c r="J26" s="27" t="s">
        <v>79</v>
      </c>
      <c r="K26" s="27" t="s">
        <v>77</v>
      </c>
      <c r="L26" s="27" t="s">
        <v>77</v>
      </c>
      <c r="M26" s="27" t="s">
        <v>79</v>
      </c>
      <c r="N26" s="27" t="s">
        <v>77</v>
      </c>
      <c r="O26" s="27" t="s">
        <v>75</v>
      </c>
      <c r="P26" s="27" t="s">
        <v>78</v>
      </c>
      <c r="Q26" s="27" t="s">
        <v>76</v>
      </c>
      <c r="R26" s="27" t="s">
        <v>76</v>
      </c>
      <c r="S26" s="86">
        <f t="shared" ref="S26:AG26" si="48">COLUMN(INDIRECT(D26&amp;4))</f>
        <v>4</v>
      </c>
      <c r="T26" s="86">
        <f t="shared" si="48"/>
        <v>1</v>
      </c>
      <c r="U26" s="86">
        <f t="shared" si="48"/>
        <v>2</v>
      </c>
      <c r="V26" s="86">
        <f t="shared" si="48"/>
        <v>2</v>
      </c>
      <c r="W26" s="86">
        <f t="shared" si="48"/>
        <v>1</v>
      </c>
      <c r="X26" s="86">
        <f t="shared" si="48"/>
        <v>3</v>
      </c>
      <c r="Y26" s="86">
        <f t="shared" si="48"/>
        <v>2</v>
      </c>
      <c r="Z26" s="86">
        <f t="shared" si="48"/>
        <v>1</v>
      </c>
      <c r="AA26" s="86">
        <f t="shared" si="48"/>
        <v>1</v>
      </c>
      <c r="AB26" s="86">
        <f t="shared" si="48"/>
        <v>2</v>
      </c>
      <c r="AC26" s="86">
        <f t="shared" si="48"/>
        <v>1</v>
      </c>
      <c r="AD26" s="86">
        <f t="shared" si="48"/>
        <v>4</v>
      </c>
      <c r="AE26" s="86">
        <f t="shared" si="48"/>
        <v>3</v>
      </c>
      <c r="AF26" s="86">
        <f t="shared" si="48"/>
        <v>5</v>
      </c>
      <c r="AG26" s="86">
        <f t="shared" si="48"/>
        <v>5</v>
      </c>
      <c r="AH26" s="26" t="s">
        <v>77</v>
      </c>
      <c r="AI26" s="27" t="s">
        <v>77</v>
      </c>
      <c r="AJ26" s="27" t="s">
        <v>79</v>
      </c>
      <c r="AK26" s="27" t="s">
        <v>78</v>
      </c>
      <c r="AL26" s="27" t="s">
        <v>77</v>
      </c>
      <c r="AM26" s="27" t="s">
        <v>79</v>
      </c>
      <c r="AN26" s="27" t="s">
        <v>76</v>
      </c>
      <c r="AO26" s="27" t="s">
        <v>79</v>
      </c>
      <c r="AP26" s="27" t="s">
        <v>78</v>
      </c>
      <c r="AQ26" s="27" t="s">
        <v>75</v>
      </c>
      <c r="AR26" s="27" t="s">
        <v>76</v>
      </c>
      <c r="AS26" s="27" t="s">
        <v>77</v>
      </c>
      <c r="AT26" s="27" t="s">
        <v>75</v>
      </c>
      <c r="AU26" s="27" t="s">
        <v>76</v>
      </c>
      <c r="AV26" s="27" t="s">
        <v>77</v>
      </c>
      <c r="AW26" s="27" t="s">
        <v>75</v>
      </c>
      <c r="AX26" s="28">
        <f t="shared" ref="AX26:BL26" si="49">COLUMN(INDIRECT(AI26&amp;1))</f>
        <v>1</v>
      </c>
      <c r="AY26" s="28">
        <f t="shared" si="49"/>
        <v>2</v>
      </c>
      <c r="AZ26" s="28">
        <f t="shared" si="49"/>
        <v>3</v>
      </c>
      <c r="BA26" s="28">
        <f t="shared" si="49"/>
        <v>1</v>
      </c>
      <c r="BB26" s="28">
        <f t="shared" si="49"/>
        <v>2</v>
      </c>
      <c r="BC26" s="28">
        <f t="shared" si="49"/>
        <v>5</v>
      </c>
      <c r="BD26" s="28">
        <f t="shared" si="49"/>
        <v>2</v>
      </c>
      <c r="BE26" s="28">
        <f t="shared" si="49"/>
        <v>3</v>
      </c>
      <c r="BF26" s="28">
        <f t="shared" si="49"/>
        <v>4</v>
      </c>
      <c r="BG26" s="28">
        <f t="shared" si="49"/>
        <v>5</v>
      </c>
      <c r="BH26" s="28">
        <f t="shared" si="49"/>
        <v>1</v>
      </c>
      <c r="BI26" s="28">
        <f t="shared" si="49"/>
        <v>4</v>
      </c>
      <c r="BJ26" s="28">
        <f t="shared" si="49"/>
        <v>5</v>
      </c>
      <c r="BK26" s="28">
        <f t="shared" si="49"/>
        <v>1</v>
      </c>
      <c r="BL26" s="28">
        <f t="shared" si="49"/>
        <v>4</v>
      </c>
      <c r="BM26" s="28"/>
      <c r="BN26" s="28"/>
      <c r="BO26" s="30"/>
      <c r="BP26" s="30"/>
      <c r="BQ26" s="31"/>
      <c r="BR26" s="31"/>
      <c r="BS26" s="31"/>
      <c r="BT26" s="31"/>
      <c r="BU26" s="31"/>
      <c r="BV26" s="31"/>
      <c r="BW26" s="31"/>
      <c r="BX26" s="31"/>
      <c r="BY26" s="28"/>
      <c r="BZ26" s="28"/>
      <c r="CA26" s="28"/>
      <c r="CB26" s="28"/>
      <c r="CC26" s="32">
        <v>19.0</v>
      </c>
      <c r="CD26" s="33" t="s">
        <v>88</v>
      </c>
      <c r="CE26" s="32" t="s">
        <v>75</v>
      </c>
    </row>
    <row r="27">
      <c r="A27" s="84" t="s">
        <v>37</v>
      </c>
      <c r="B27" s="85">
        <v>2.0</v>
      </c>
      <c r="C27" s="85">
        <v>2.0</v>
      </c>
      <c r="D27" s="27" t="s">
        <v>76</v>
      </c>
      <c r="E27" s="27" t="s">
        <v>76</v>
      </c>
      <c r="F27" s="27" t="s">
        <v>76</v>
      </c>
      <c r="G27" s="27" t="s">
        <v>77</v>
      </c>
      <c r="H27" s="27" t="s">
        <v>77</v>
      </c>
      <c r="I27" s="27" t="s">
        <v>78</v>
      </c>
      <c r="J27" s="27" t="s">
        <v>75</v>
      </c>
      <c r="K27" s="27" t="s">
        <v>78</v>
      </c>
      <c r="L27" s="27" t="s">
        <v>77</v>
      </c>
      <c r="M27" s="27" t="s">
        <v>76</v>
      </c>
      <c r="N27" s="27" t="s">
        <v>79</v>
      </c>
      <c r="O27" s="27" t="s">
        <v>76</v>
      </c>
      <c r="P27" s="27" t="s">
        <v>78</v>
      </c>
      <c r="Q27" s="27" t="s">
        <v>75</v>
      </c>
      <c r="R27" s="27" t="s">
        <v>75</v>
      </c>
      <c r="S27" s="86">
        <f t="shared" ref="S27:AG27" si="50">COLUMN(INDIRECT(D27&amp;4))</f>
        <v>5</v>
      </c>
      <c r="T27" s="86">
        <f t="shared" si="50"/>
        <v>5</v>
      </c>
      <c r="U27" s="86">
        <f t="shared" si="50"/>
        <v>5</v>
      </c>
      <c r="V27" s="86">
        <f t="shared" si="50"/>
        <v>1</v>
      </c>
      <c r="W27" s="86">
        <f t="shared" si="50"/>
        <v>1</v>
      </c>
      <c r="X27" s="86">
        <f t="shared" si="50"/>
        <v>3</v>
      </c>
      <c r="Y27" s="86">
        <f t="shared" si="50"/>
        <v>4</v>
      </c>
      <c r="Z27" s="86">
        <f t="shared" si="50"/>
        <v>3</v>
      </c>
      <c r="AA27" s="86">
        <f t="shared" si="50"/>
        <v>1</v>
      </c>
      <c r="AB27" s="86">
        <f t="shared" si="50"/>
        <v>5</v>
      </c>
      <c r="AC27" s="86">
        <f t="shared" si="50"/>
        <v>2</v>
      </c>
      <c r="AD27" s="86">
        <f t="shared" si="50"/>
        <v>5</v>
      </c>
      <c r="AE27" s="86">
        <f t="shared" si="50"/>
        <v>3</v>
      </c>
      <c r="AF27" s="86">
        <f t="shared" si="50"/>
        <v>4</v>
      </c>
      <c r="AG27" s="86">
        <f t="shared" si="50"/>
        <v>4</v>
      </c>
      <c r="AH27" s="26" t="s">
        <v>77</v>
      </c>
      <c r="AI27" s="27" t="s">
        <v>77</v>
      </c>
      <c r="AJ27" s="27" t="s">
        <v>78</v>
      </c>
      <c r="AK27" s="27" t="s">
        <v>76</v>
      </c>
      <c r="AL27" s="27" t="s">
        <v>79</v>
      </c>
      <c r="AM27" s="27" t="s">
        <v>77</v>
      </c>
      <c r="AN27" s="27" t="s">
        <v>76</v>
      </c>
      <c r="AO27" s="27" t="s">
        <v>78</v>
      </c>
      <c r="AP27" s="27" t="s">
        <v>75</v>
      </c>
      <c r="AQ27" s="27" t="s">
        <v>77</v>
      </c>
      <c r="AR27" s="27" t="s">
        <v>75</v>
      </c>
      <c r="AS27" s="27" t="s">
        <v>76</v>
      </c>
      <c r="AT27" s="27" t="s">
        <v>76</v>
      </c>
      <c r="AU27" s="27" t="s">
        <v>76</v>
      </c>
      <c r="AV27" s="27" t="s">
        <v>79</v>
      </c>
      <c r="AW27" s="27" t="s">
        <v>76</v>
      </c>
      <c r="AX27" s="28">
        <f t="shared" ref="AX27:BL27" si="51">COLUMN(INDIRECT(AI27&amp;1))</f>
        <v>1</v>
      </c>
      <c r="AY27" s="28">
        <f t="shared" si="51"/>
        <v>3</v>
      </c>
      <c r="AZ27" s="28">
        <f t="shared" si="51"/>
        <v>5</v>
      </c>
      <c r="BA27" s="28">
        <f t="shared" si="51"/>
        <v>2</v>
      </c>
      <c r="BB27" s="28">
        <f t="shared" si="51"/>
        <v>1</v>
      </c>
      <c r="BC27" s="28">
        <f t="shared" si="51"/>
        <v>5</v>
      </c>
      <c r="BD27" s="28">
        <f t="shared" si="51"/>
        <v>3</v>
      </c>
      <c r="BE27" s="28">
        <f t="shared" si="51"/>
        <v>4</v>
      </c>
      <c r="BF27" s="28">
        <f t="shared" si="51"/>
        <v>1</v>
      </c>
      <c r="BG27" s="28">
        <f t="shared" si="51"/>
        <v>4</v>
      </c>
      <c r="BH27" s="28">
        <f t="shared" si="51"/>
        <v>5</v>
      </c>
      <c r="BI27" s="28">
        <f t="shared" si="51"/>
        <v>5</v>
      </c>
      <c r="BJ27" s="28">
        <f t="shared" si="51"/>
        <v>5</v>
      </c>
      <c r="BK27" s="28">
        <f t="shared" si="51"/>
        <v>2</v>
      </c>
      <c r="BL27" s="28">
        <f t="shared" si="51"/>
        <v>5</v>
      </c>
      <c r="BM27" s="28"/>
      <c r="BN27" s="28"/>
      <c r="BO27" s="30"/>
      <c r="BP27" s="30"/>
      <c r="BQ27" s="31"/>
      <c r="BR27" s="31"/>
      <c r="BS27" s="31"/>
      <c r="BT27" s="31"/>
      <c r="BU27" s="31"/>
      <c r="BV27" s="31"/>
      <c r="BW27" s="31"/>
      <c r="BX27" s="31"/>
      <c r="BY27" s="28"/>
      <c r="BZ27" s="28"/>
      <c r="CA27" s="28"/>
      <c r="CB27" s="28"/>
      <c r="CC27" s="32">
        <v>20.0</v>
      </c>
      <c r="CD27" s="33" t="s">
        <v>89</v>
      </c>
      <c r="CE27" s="32" t="s">
        <v>76</v>
      </c>
    </row>
    <row r="28">
      <c r="A28" s="84" t="s">
        <v>38</v>
      </c>
      <c r="B28" s="85">
        <v>2.0</v>
      </c>
      <c r="C28" s="85">
        <v>1.0</v>
      </c>
      <c r="D28" s="27" t="s">
        <v>75</v>
      </c>
      <c r="E28" s="27" t="s">
        <v>77</v>
      </c>
      <c r="F28" s="27" t="s">
        <v>79</v>
      </c>
      <c r="G28" s="27" t="s">
        <v>79</v>
      </c>
      <c r="H28" s="27" t="s">
        <v>77</v>
      </c>
      <c r="I28" s="27" t="s">
        <v>77</v>
      </c>
      <c r="J28" s="27" t="s">
        <v>76</v>
      </c>
      <c r="K28" s="27" t="s">
        <v>77</v>
      </c>
      <c r="L28" s="27" t="s">
        <v>77</v>
      </c>
      <c r="M28" s="27" t="s">
        <v>77</v>
      </c>
      <c r="N28" s="27" t="s">
        <v>75</v>
      </c>
      <c r="O28" s="27" t="s">
        <v>78</v>
      </c>
      <c r="P28" s="27" t="s">
        <v>77</v>
      </c>
      <c r="Q28" s="27" t="s">
        <v>76</v>
      </c>
      <c r="R28" s="27" t="s">
        <v>76</v>
      </c>
      <c r="S28" s="86">
        <f t="shared" ref="S28:AG28" si="52">COLUMN(INDIRECT(D28&amp;4))</f>
        <v>4</v>
      </c>
      <c r="T28" s="86">
        <f t="shared" si="52"/>
        <v>1</v>
      </c>
      <c r="U28" s="86">
        <f t="shared" si="52"/>
        <v>2</v>
      </c>
      <c r="V28" s="86">
        <f t="shared" si="52"/>
        <v>2</v>
      </c>
      <c r="W28" s="86">
        <f t="shared" si="52"/>
        <v>1</v>
      </c>
      <c r="X28" s="86">
        <f t="shared" si="52"/>
        <v>1</v>
      </c>
      <c r="Y28" s="86">
        <f t="shared" si="52"/>
        <v>5</v>
      </c>
      <c r="Z28" s="86">
        <f t="shared" si="52"/>
        <v>1</v>
      </c>
      <c r="AA28" s="86">
        <f t="shared" si="52"/>
        <v>1</v>
      </c>
      <c r="AB28" s="86">
        <f t="shared" si="52"/>
        <v>1</v>
      </c>
      <c r="AC28" s="86">
        <f t="shared" si="52"/>
        <v>4</v>
      </c>
      <c r="AD28" s="86">
        <f t="shared" si="52"/>
        <v>3</v>
      </c>
      <c r="AE28" s="86">
        <f t="shared" si="52"/>
        <v>1</v>
      </c>
      <c r="AF28" s="86">
        <f t="shared" si="52"/>
        <v>5</v>
      </c>
      <c r="AG28" s="86">
        <f t="shared" si="52"/>
        <v>5</v>
      </c>
      <c r="AH28" s="26" t="s">
        <v>79</v>
      </c>
      <c r="AI28" s="27" t="s">
        <v>77</v>
      </c>
      <c r="AJ28" s="27" t="s">
        <v>78</v>
      </c>
      <c r="AK28" s="27" t="s">
        <v>75</v>
      </c>
      <c r="AL28" s="27" t="s">
        <v>79</v>
      </c>
      <c r="AM28" s="27" t="s">
        <v>77</v>
      </c>
      <c r="AN28" s="27" t="s">
        <v>76</v>
      </c>
      <c r="AO28" s="27" t="s">
        <v>75</v>
      </c>
      <c r="AP28" s="27" t="s">
        <v>76</v>
      </c>
      <c r="AQ28" s="27" t="s">
        <v>79</v>
      </c>
      <c r="AR28" s="27" t="s">
        <v>78</v>
      </c>
      <c r="AS28" s="27" t="s">
        <v>77</v>
      </c>
      <c r="AT28" s="27" t="s">
        <v>77</v>
      </c>
      <c r="AU28" s="27" t="s">
        <v>79</v>
      </c>
      <c r="AV28" s="27" t="s">
        <v>77</v>
      </c>
      <c r="AW28" s="27" t="s">
        <v>77</v>
      </c>
      <c r="AX28" s="28">
        <f t="shared" ref="AX28:BL28" si="53">COLUMN(INDIRECT(AI28&amp;1))</f>
        <v>1</v>
      </c>
      <c r="AY28" s="28">
        <f t="shared" si="53"/>
        <v>3</v>
      </c>
      <c r="AZ28" s="28">
        <f t="shared" si="53"/>
        <v>4</v>
      </c>
      <c r="BA28" s="28">
        <f t="shared" si="53"/>
        <v>2</v>
      </c>
      <c r="BB28" s="28">
        <f t="shared" si="53"/>
        <v>1</v>
      </c>
      <c r="BC28" s="28">
        <f t="shared" si="53"/>
        <v>5</v>
      </c>
      <c r="BD28" s="28">
        <f t="shared" si="53"/>
        <v>4</v>
      </c>
      <c r="BE28" s="28">
        <f t="shared" si="53"/>
        <v>5</v>
      </c>
      <c r="BF28" s="28">
        <f t="shared" si="53"/>
        <v>2</v>
      </c>
      <c r="BG28" s="28">
        <f t="shared" si="53"/>
        <v>3</v>
      </c>
      <c r="BH28" s="28">
        <f t="shared" si="53"/>
        <v>1</v>
      </c>
      <c r="BI28" s="28">
        <f t="shared" si="53"/>
        <v>1</v>
      </c>
      <c r="BJ28" s="28">
        <f t="shared" si="53"/>
        <v>2</v>
      </c>
      <c r="BK28" s="28">
        <f t="shared" si="53"/>
        <v>1</v>
      </c>
      <c r="BL28" s="28">
        <f t="shared" si="53"/>
        <v>1</v>
      </c>
      <c r="BM28" s="28"/>
      <c r="BN28" s="28"/>
      <c r="BO28" s="30"/>
      <c r="BP28" s="30"/>
      <c r="BQ28" s="31"/>
      <c r="BR28" s="31"/>
      <c r="BS28" s="31"/>
      <c r="BT28" s="31"/>
      <c r="BU28" s="31"/>
      <c r="BV28" s="31"/>
      <c r="BW28" s="31"/>
      <c r="BX28" s="31"/>
      <c r="BY28" s="28"/>
      <c r="BZ28" s="28"/>
      <c r="CA28" s="28"/>
      <c r="CB28" s="28"/>
      <c r="CC28" s="32">
        <v>21.0</v>
      </c>
      <c r="CD28" s="33" t="s">
        <v>90</v>
      </c>
      <c r="CE28" s="32" t="s">
        <v>77</v>
      </c>
    </row>
    <row r="29">
      <c r="A29" s="84" t="s">
        <v>40</v>
      </c>
      <c r="B29" s="85">
        <v>2.0</v>
      </c>
      <c r="C29" s="85">
        <v>1.0</v>
      </c>
      <c r="D29" s="27" t="s">
        <v>79</v>
      </c>
      <c r="E29" s="27" t="s">
        <v>79</v>
      </c>
      <c r="F29" s="27" t="s">
        <v>77</v>
      </c>
      <c r="G29" s="27" t="s">
        <v>79</v>
      </c>
      <c r="H29" s="27" t="s">
        <v>75</v>
      </c>
      <c r="I29" s="27" t="s">
        <v>78</v>
      </c>
      <c r="J29" s="27" t="s">
        <v>77</v>
      </c>
      <c r="K29" s="27" t="s">
        <v>77</v>
      </c>
      <c r="L29" s="27" t="s">
        <v>77</v>
      </c>
      <c r="M29" s="27" t="s">
        <v>77</v>
      </c>
      <c r="N29" s="27" t="s">
        <v>79</v>
      </c>
      <c r="O29" s="27" t="s">
        <v>79</v>
      </c>
      <c r="P29" s="27" t="s">
        <v>78</v>
      </c>
      <c r="Q29" s="27" t="s">
        <v>79</v>
      </c>
      <c r="R29" s="27" t="s">
        <v>76</v>
      </c>
      <c r="S29" s="86">
        <f t="shared" ref="S29:AG29" si="54">COLUMN(INDIRECT(D29&amp;4))</f>
        <v>2</v>
      </c>
      <c r="T29" s="86">
        <f t="shared" si="54"/>
        <v>2</v>
      </c>
      <c r="U29" s="86">
        <f t="shared" si="54"/>
        <v>1</v>
      </c>
      <c r="V29" s="86">
        <f t="shared" si="54"/>
        <v>2</v>
      </c>
      <c r="W29" s="86">
        <f t="shared" si="54"/>
        <v>4</v>
      </c>
      <c r="X29" s="86">
        <f t="shared" si="54"/>
        <v>3</v>
      </c>
      <c r="Y29" s="86">
        <f t="shared" si="54"/>
        <v>1</v>
      </c>
      <c r="Z29" s="86">
        <f t="shared" si="54"/>
        <v>1</v>
      </c>
      <c r="AA29" s="86">
        <f t="shared" si="54"/>
        <v>1</v>
      </c>
      <c r="AB29" s="86">
        <f t="shared" si="54"/>
        <v>1</v>
      </c>
      <c r="AC29" s="86">
        <f t="shared" si="54"/>
        <v>2</v>
      </c>
      <c r="AD29" s="86">
        <f t="shared" si="54"/>
        <v>2</v>
      </c>
      <c r="AE29" s="86">
        <f t="shared" si="54"/>
        <v>3</v>
      </c>
      <c r="AF29" s="86">
        <f t="shared" si="54"/>
        <v>2</v>
      </c>
      <c r="AG29" s="86">
        <f t="shared" si="54"/>
        <v>5</v>
      </c>
      <c r="AH29" s="26" t="s">
        <v>79</v>
      </c>
      <c r="AI29" s="27" t="s">
        <v>77</v>
      </c>
      <c r="AJ29" s="27" t="s">
        <v>78</v>
      </c>
      <c r="AK29" s="27" t="s">
        <v>79</v>
      </c>
      <c r="AL29" s="27" t="s">
        <v>77</v>
      </c>
      <c r="AM29" s="27" t="s">
        <v>79</v>
      </c>
      <c r="AN29" s="27" t="s">
        <v>76</v>
      </c>
      <c r="AO29" s="27" t="s">
        <v>79</v>
      </c>
      <c r="AP29" s="27" t="s">
        <v>76</v>
      </c>
      <c r="AQ29" s="27" t="s">
        <v>78</v>
      </c>
      <c r="AR29" s="27" t="s">
        <v>76</v>
      </c>
      <c r="AS29" s="27" t="s">
        <v>75</v>
      </c>
      <c r="AT29" s="27" t="s">
        <v>77</v>
      </c>
      <c r="AU29" s="27" t="s">
        <v>79</v>
      </c>
      <c r="AV29" s="27" t="s">
        <v>77</v>
      </c>
      <c r="AW29" s="27" t="s">
        <v>79</v>
      </c>
      <c r="AX29" s="28">
        <f t="shared" ref="AX29:BL29" si="55">COLUMN(INDIRECT(AI29&amp;1))</f>
        <v>1</v>
      </c>
      <c r="AY29" s="28">
        <f t="shared" si="55"/>
        <v>3</v>
      </c>
      <c r="AZ29" s="28">
        <f t="shared" si="55"/>
        <v>2</v>
      </c>
      <c r="BA29" s="28">
        <f t="shared" si="55"/>
        <v>1</v>
      </c>
      <c r="BB29" s="28">
        <f t="shared" si="55"/>
        <v>2</v>
      </c>
      <c r="BC29" s="28">
        <f t="shared" si="55"/>
        <v>5</v>
      </c>
      <c r="BD29" s="28">
        <f t="shared" si="55"/>
        <v>2</v>
      </c>
      <c r="BE29" s="28">
        <f t="shared" si="55"/>
        <v>5</v>
      </c>
      <c r="BF29" s="28">
        <f t="shared" si="55"/>
        <v>3</v>
      </c>
      <c r="BG29" s="28">
        <f t="shared" si="55"/>
        <v>5</v>
      </c>
      <c r="BH29" s="28">
        <f t="shared" si="55"/>
        <v>4</v>
      </c>
      <c r="BI29" s="28">
        <f t="shared" si="55"/>
        <v>1</v>
      </c>
      <c r="BJ29" s="28">
        <f t="shared" si="55"/>
        <v>2</v>
      </c>
      <c r="BK29" s="28">
        <f t="shared" si="55"/>
        <v>1</v>
      </c>
      <c r="BL29" s="28">
        <f t="shared" si="55"/>
        <v>2</v>
      </c>
      <c r="BM29" s="28"/>
      <c r="BN29" s="28"/>
      <c r="BO29" s="30"/>
      <c r="BP29" s="30"/>
      <c r="BQ29" s="31"/>
      <c r="BR29" s="31"/>
      <c r="BS29" s="31"/>
      <c r="BT29" s="31"/>
      <c r="BU29" s="31"/>
      <c r="BV29" s="31"/>
      <c r="BW29" s="31"/>
      <c r="BX29" s="31"/>
      <c r="BY29" s="28"/>
      <c r="BZ29" s="28"/>
      <c r="CA29" s="28"/>
      <c r="CB29" s="28"/>
      <c r="CC29" s="32">
        <v>23.0</v>
      </c>
      <c r="CD29" s="33" t="s">
        <v>91</v>
      </c>
      <c r="CE29" s="32" t="s">
        <v>78</v>
      </c>
    </row>
    <row r="30">
      <c r="A30" s="84" t="s">
        <v>92</v>
      </c>
      <c r="B30" s="85">
        <v>2.0</v>
      </c>
      <c r="C30" s="85">
        <v>1.0</v>
      </c>
      <c r="D30" s="27" t="s">
        <v>76</v>
      </c>
      <c r="E30" s="27" t="s">
        <v>75</v>
      </c>
      <c r="F30" s="27" t="s">
        <v>79</v>
      </c>
      <c r="G30" s="27" t="s">
        <v>78</v>
      </c>
      <c r="H30" s="27" t="s">
        <v>79</v>
      </c>
      <c r="I30" s="27" t="s">
        <v>77</v>
      </c>
      <c r="J30" s="27" t="s">
        <v>79</v>
      </c>
      <c r="K30" s="27" t="s">
        <v>78</v>
      </c>
      <c r="L30" s="27" t="s">
        <v>77</v>
      </c>
      <c r="M30" s="27" t="s">
        <v>77</v>
      </c>
      <c r="N30" s="27" t="s">
        <v>75</v>
      </c>
      <c r="O30" s="27" t="s">
        <v>78</v>
      </c>
      <c r="P30" s="27" t="s">
        <v>79</v>
      </c>
      <c r="Q30" s="27" t="s">
        <v>76</v>
      </c>
      <c r="R30" s="27" t="s">
        <v>76</v>
      </c>
      <c r="S30" s="86">
        <f t="shared" ref="S30:AG30" si="56">COLUMN(INDIRECT(D30&amp;4))</f>
        <v>5</v>
      </c>
      <c r="T30" s="86">
        <f t="shared" si="56"/>
        <v>4</v>
      </c>
      <c r="U30" s="86">
        <f t="shared" si="56"/>
        <v>2</v>
      </c>
      <c r="V30" s="86">
        <f t="shared" si="56"/>
        <v>3</v>
      </c>
      <c r="W30" s="86">
        <f t="shared" si="56"/>
        <v>2</v>
      </c>
      <c r="X30" s="86">
        <f t="shared" si="56"/>
        <v>1</v>
      </c>
      <c r="Y30" s="86">
        <f t="shared" si="56"/>
        <v>2</v>
      </c>
      <c r="Z30" s="86">
        <f t="shared" si="56"/>
        <v>3</v>
      </c>
      <c r="AA30" s="86">
        <f t="shared" si="56"/>
        <v>1</v>
      </c>
      <c r="AB30" s="86">
        <f t="shared" si="56"/>
        <v>1</v>
      </c>
      <c r="AC30" s="86">
        <f t="shared" si="56"/>
        <v>4</v>
      </c>
      <c r="AD30" s="86">
        <f t="shared" si="56"/>
        <v>3</v>
      </c>
      <c r="AE30" s="86">
        <f t="shared" si="56"/>
        <v>2</v>
      </c>
      <c r="AF30" s="86">
        <f t="shared" si="56"/>
        <v>5</v>
      </c>
      <c r="AG30" s="86">
        <f t="shared" si="56"/>
        <v>5</v>
      </c>
      <c r="AH30" s="26" t="s">
        <v>79</v>
      </c>
      <c r="AI30" s="27" t="s">
        <v>79</v>
      </c>
      <c r="AJ30" s="27" t="s">
        <v>78</v>
      </c>
      <c r="AK30" s="27" t="s">
        <v>75</v>
      </c>
      <c r="AL30" s="27" t="s">
        <v>79</v>
      </c>
      <c r="AM30" s="27" t="s">
        <v>79</v>
      </c>
      <c r="AN30" s="27" t="s">
        <v>75</v>
      </c>
      <c r="AO30" s="27" t="s">
        <v>78</v>
      </c>
      <c r="AP30" s="27" t="s">
        <v>75</v>
      </c>
      <c r="AQ30" s="27" t="s">
        <v>79</v>
      </c>
      <c r="AR30" s="27" t="s">
        <v>79</v>
      </c>
      <c r="AS30" s="27" t="s">
        <v>78</v>
      </c>
      <c r="AT30" s="27" t="s">
        <v>79</v>
      </c>
      <c r="AU30" s="27" t="s">
        <v>78</v>
      </c>
      <c r="AV30" s="27" t="s">
        <v>77</v>
      </c>
      <c r="AW30" s="27" t="s">
        <v>78</v>
      </c>
      <c r="AX30" s="28">
        <f t="shared" ref="AX30:BL30" si="57">COLUMN(INDIRECT(AI30&amp;1))</f>
        <v>2</v>
      </c>
      <c r="AY30" s="28">
        <f t="shared" si="57"/>
        <v>3</v>
      </c>
      <c r="AZ30" s="28">
        <f t="shared" si="57"/>
        <v>4</v>
      </c>
      <c r="BA30" s="28">
        <f t="shared" si="57"/>
        <v>2</v>
      </c>
      <c r="BB30" s="28">
        <f t="shared" si="57"/>
        <v>2</v>
      </c>
      <c r="BC30" s="28">
        <f t="shared" si="57"/>
        <v>4</v>
      </c>
      <c r="BD30" s="28">
        <f t="shared" si="57"/>
        <v>3</v>
      </c>
      <c r="BE30" s="28">
        <f t="shared" si="57"/>
        <v>4</v>
      </c>
      <c r="BF30" s="28">
        <f t="shared" si="57"/>
        <v>2</v>
      </c>
      <c r="BG30" s="28">
        <f t="shared" si="57"/>
        <v>2</v>
      </c>
      <c r="BH30" s="28">
        <f t="shared" si="57"/>
        <v>3</v>
      </c>
      <c r="BI30" s="28">
        <f t="shared" si="57"/>
        <v>2</v>
      </c>
      <c r="BJ30" s="28">
        <f t="shared" si="57"/>
        <v>3</v>
      </c>
      <c r="BK30" s="28">
        <f t="shared" si="57"/>
        <v>1</v>
      </c>
      <c r="BL30" s="28">
        <f t="shared" si="57"/>
        <v>3</v>
      </c>
      <c r="BM30" s="28"/>
      <c r="BN30" s="28"/>
      <c r="BO30" s="30"/>
      <c r="BP30" s="30"/>
      <c r="BQ30" s="31"/>
      <c r="BR30" s="31"/>
      <c r="BS30" s="31"/>
      <c r="BT30" s="31"/>
      <c r="BU30" s="31"/>
      <c r="BV30" s="31"/>
      <c r="BW30" s="31"/>
      <c r="BX30" s="31"/>
      <c r="BY30" s="28"/>
      <c r="BZ30" s="28"/>
      <c r="CA30" s="28"/>
      <c r="CB30" s="28"/>
      <c r="CC30" s="32"/>
      <c r="CD30" s="33"/>
      <c r="CE30" s="32"/>
    </row>
    <row r="31">
      <c r="A31" s="84" t="s">
        <v>41</v>
      </c>
      <c r="B31" s="85">
        <v>2.0</v>
      </c>
      <c r="C31" s="85">
        <v>1.0</v>
      </c>
      <c r="D31" s="27" t="s">
        <v>76</v>
      </c>
      <c r="E31" s="27" t="s">
        <v>78</v>
      </c>
      <c r="F31" s="27" t="s">
        <v>77</v>
      </c>
      <c r="G31" s="27" t="s">
        <v>77</v>
      </c>
      <c r="H31" s="27" t="s">
        <v>79</v>
      </c>
      <c r="I31" s="27" t="s">
        <v>79</v>
      </c>
      <c r="J31" s="27" t="s">
        <v>76</v>
      </c>
      <c r="K31" s="27" t="s">
        <v>78</v>
      </c>
      <c r="L31" s="27" t="s">
        <v>75</v>
      </c>
      <c r="M31" s="27" t="s">
        <v>75</v>
      </c>
      <c r="N31" s="27" t="s">
        <v>77</v>
      </c>
      <c r="O31" s="27" t="s">
        <v>76</v>
      </c>
      <c r="P31" s="27" t="s">
        <v>79</v>
      </c>
      <c r="Q31" s="27" t="s">
        <v>75</v>
      </c>
      <c r="R31" s="27" t="s">
        <v>76</v>
      </c>
      <c r="S31" s="86">
        <f t="shared" ref="S31:AG31" si="58">COLUMN(INDIRECT(D31&amp;4))</f>
        <v>5</v>
      </c>
      <c r="T31" s="86">
        <f t="shared" si="58"/>
        <v>3</v>
      </c>
      <c r="U31" s="86">
        <f t="shared" si="58"/>
        <v>1</v>
      </c>
      <c r="V31" s="86">
        <f t="shared" si="58"/>
        <v>1</v>
      </c>
      <c r="W31" s="86">
        <f t="shared" si="58"/>
        <v>2</v>
      </c>
      <c r="X31" s="86">
        <f t="shared" si="58"/>
        <v>2</v>
      </c>
      <c r="Y31" s="86">
        <f t="shared" si="58"/>
        <v>5</v>
      </c>
      <c r="Z31" s="86">
        <f t="shared" si="58"/>
        <v>3</v>
      </c>
      <c r="AA31" s="86">
        <f t="shared" si="58"/>
        <v>4</v>
      </c>
      <c r="AB31" s="86">
        <f t="shared" si="58"/>
        <v>4</v>
      </c>
      <c r="AC31" s="86">
        <f t="shared" si="58"/>
        <v>1</v>
      </c>
      <c r="AD31" s="86">
        <f t="shared" si="58"/>
        <v>5</v>
      </c>
      <c r="AE31" s="86">
        <f t="shared" si="58"/>
        <v>2</v>
      </c>
      <c r="AF31" s="86">
        <f t="shared" si="58"/>
        <v>4</v>
      </c>
      <c r="AG31" s="86">
        <f t="shared" si="58"/>
        <v>5</v>
      </c>
      <c r="AH31" s="26" t="s">
        <v>79</v>
      </c>
      <c r="AI31" s="27" t="s">
        <v>79</v>
      </c>
      <c r="AJ31" s="27" t="s">
        <v>78</v>
      </c>
      <c r="AK31" s="27" t="s">
        <v>79</v>
      </c>
      <c r="AL31" s="27" t="s">
        <v>78</v>
      </c>
      <c r="AM31" s="27" t="s">
        <v>77</v>
      </c>
      <c r="AN31" s="27" t="s">
        <v>76</v>
      </c>
      <c r="AO31" s="27" t="s">
        <v>77</v>
      </c>
      <c r="AP31" s="27" t="s">
        <v>76</v>
      </c>
      <c r="AQ31" s="27" t="s">
        <v>78</v>
      </c>
      <c r="AR31" s="27" t="s">
        <v>79</v>
      </c>
      <c r="AS31" s="27" t="s">
        <v>78</v>
      </c>
      <c r="AT31" s="27" t="s">
        <v>79</v>
      </c>
      <c r="AU31" s="27" t="s">
        <v>78</v>
      </c>
      <c r="AV31" s="27" t="s">
        <v>79</v>
      </c>
      <c r="AW31" s="27" t="s">
        <v>75</v>
      </c>
      <c r="AX31" s="28">
        <f t="shared" ref="AX31:BL31" si="59">COLUMN(INDIRECT(AI31&amp;1))</f>
        <v>2</v>
      </c>
      <c r="AY31" s="28">
        <f t="shared" si="59"/>
        <v>3</v>
      </c>
      <c r="AZ31" s="28">
        <f t="shared" si="59"/>
        <v>2</v>
      </c>
      <c r="BA31" s="28">
        <f t="shared" si="59"/>
        <v>3</v>
      </c>
      <c r="BB31" s="28">
        <f t="shared" si="59"/>
        <v>1</v>
      </c>
      <c r="BC31" s="28">
        <f t="shared" si="59"/>
        <v>5</v>
      </c>
      <c r="BD31" s="28">
        <f t="shared" si="59"/>
        <v>1</v>
      </c>
      <c r="BE31" s="28">
        <f t="shared" si="59"/>
        <v>5</v>
      </c>
      <c r="BF31" s="28">
        <f t="shared" si="59"/>
        <v>3</v>
      </c>
      <c r="BG31" s="28">
        <f t="shared" si="59"/>
        <v>2</v>
      </c>
      <c r="BH31" s="28">
        <f t="shared" si="59"/>
        <v>3</v>
      </c>
      <c r="BI31" s="28">
        <f t="shared" si="59"/>
        <v>2</v>
      </c>
      <c r="BJ31" s="28">
        <f t="shared" si="59"/>
        <v>3</v>
      </c>
      <c r="BK31" s="28">
        <f t="shared" si="59"/>
        <v>2</v>
      </c>
      <c r="BL31" s="28">
        <f t="shared" si="59"/>
        <v>4</v>
      </c>
      <c r="BM31" s="28"/>
      <c r="BN31" s="28"/>
      <c r="BO31" s="30"/>
      <c r="BP31" s="30"/>
      <c r="BQ31" s="31"/>
      <c r="BR31" s="31"/>
      <c r="BS31" s="31"/>
      <c r="BT31" s="31"/>
      <c r="BU31" s="31"/>
      <c r="BV31" s="31"/>
      <c r="BW31" s="31"/>
      <c r="BX31" s="31"/>
      <c r="BY31" s="28"/>
      <c r="BZ31" s="28"/>
      <c r="CA31" s="28"/>
      <c r="CB31" s="28"/>
      <c r="CC31" s="32">
        <v>24.0</v>
      </c>
      <c r="CD31" s="33" t="s">
        <v>93</v>
      </c>
      <c r="CE31" s="32" t="s">
        <v>75</v>
      </c>
    </row>
    <row r="32">
      <c r="A32" s="84" t="s">
        <v>42</v>
      </c>
      <c r="B32" s="85">
        <v>2.0</v>
      </c>
      <c r="C32" s="85">
        <v>1.0</v>
      </c>
      <c r="D32" s="27" t="s">
        <v>76</v>
      </c>
      <c r="E32" s="27" t="s">
        <v>76</v>
      </c>
      <c r="F32" s="27" t="s">
        <v>78</v>
      </c>
      <c r="G32" s="27" t="s">
        <v>79</v>
      </c>
      <c r="H32" s="27" t="s">
        <v>79</v>
      </c>
      <c r="I32" s="27" t="s">
        <v>77</v>
      </c>
      <c r="J32" s="27" t="s">
        <v>75</v>
      </c>
      <c r="K32" s="27" t="s">
        <v>79</v>
      </c>
      <c r="L32" s="27" t="s">
        <v>76</v>
      </c>
      <c r="M32" s="27" t="s">
        <v>77</v>
      </c>
      <c r="N32" s="27" t="s">
        <v>78</v>
      </c>
      <c r="O32" s="27" t="s">
        <v>76</v>
      </c>
      <c r="P32" s="27" t="s">
        <v>77</v>
      </c>
      <c r="Q32" s="27" t="s">
        <v>76</v>
      </c>
      <c r="R32" s="27" t="s">
        <v>75</v>
      </c>
      <c r="S32" s="86">
        <f t="shared" ref="S32:AG32" si="60">COLUMN(INDIRECT(D32&amp;4))</f>
        <v>5</v>
      </c>
      <c r="T32" s="86">
        <f t="shared" si="60"/>
        <v>5</v>
      </c>
      <c r="U32" s="86">
        <f t="shared" si="60"/>
        <v>3</v>
      </c>
      <c r="V32" s="86">
        <f t="shared" si="60"/>
        <v>2</v>
      </c>
      <c r="W32" s="86">
        <f t="shared" si="60"/>
        <v>2</v>
      </c>
      <c r="X32" s="86">
        <f t="shared" si="60"/>
        <v>1</v>
      </c>
      <c r="Y32" s="86">
        <f t="shared" si="60"/>
        <v>4</v>
      </c>
      <c r="Z32" s="86">
        <f t="shared" si="60"/>
        <v>2</v>
      </c>
      <c r="AA32" s="86">
        <f t="shared" si="60"/>
        <v>5</v>
      </c>
      <c r="AB32" s="86">
        <f t="shared" si="60"/>
        <v>1</v>
      </c>
      <c r="AC32" s="86">
        <f t="shared" si="60"/>
        <v>3</v>
      </c>
      <c r="AD32" s="86">
        <f t="shared" si="60"/>
        <v>5</v>
      </c>
      <c r="AE32" s="86">
        <f t="shared" si="60"/>
        <v>1</v>
      </c>
      <c r="AF32" s="86">
        <f t="shared" si="60"/>
        <v>5</v>
      </c>
      <c r="AG32" s="86">
        <f t="shared" si="60"/>
        <v>4</v>
      </c>
      <c r="AH32" s="26" t="s">
        <v>79</v>
      </c>
      <c r="AI32" s="27" t="s">
        <v>77</v>
      </c>
      <c r="AJ32" s="27" t="s">
        <v>78</v>
      </c>
      <c r="AK32" s="27" t="s">
        <v>78</v>
      </c>
      <c r="AL32" s="27" t="s">
        <v>79</v>
      </c>
      <c r="AM32" s="27" t="s">
        <v>77</v>
      </c>
      <c r="AN32" s="27" t="s">
        <v>76</v>
      </c>
      <c r="AO32" s="27" t="s">
        <v>79</v>
      </c>
      <c r="AP32" s="27" t="s">
        <v>75</v>
      </c>
      <c r="AQ32" s="27" t="s">
        <v>77</v>
      </c>
      <c r="AR32" s="27" t="s">
        <v>79</v>
      </c>
      <c r="AS32" s="27" t="s">
        <v>77</v>
      </c>
      <c r="AT32" s="27" t="s">
        <v>78</v>
      </c>
      <c r="AU32" s="27" t="s">
        <v>79</v>
      </c>
      <c r="AV32" s="27" t="s">
        <v>77</v>
      </c>
      <c r="AW32" s="27" t="s">
        <v>76</v>
      </c>
      <c r="AX32" s="28">
        <f t="shared" ref="AX32:BL32" si="61">COLUMN(INDIRECT(AI32&amp;1))</f>
        <v>1</v>
      </c>
      <c r="AY32" s="28">
        <f t="shared" si="61"/>
        <v>3</v>
      </c>
      <c r="AZ32" s="28">
        <f t="shared" si="61"/>
        <v>3</v>
      </c>
      <c r="BA32" s="28">
        <f t="shared" si="61"/>
        <v>2</v>
      </c>
      <c r="BB32" s="28">
        <f t="shared" si="61"/>
        <v>1</v>
      </c>
      <c r="BC32" s="28">
        <f t="shared" si="61"/>
        <v>5</v>
      </c>
      <c r="BD32" s="28">
        <f t="shared" si="61"/>
        <v>2</v>
      </c>
      <c r="BE32" s="28">
        <f t="shared" si="61"/>
        <v>4</v>
      </c>
      <c r="BF32" s="28">
        <f t="shared" si="61"/>
        <v>1</v>
      </c>
      <c r="BG32" s="28">
        <f t="shared" si="61"/>
        <v>2</v>
      </c>
      <c r="BH32" s="28">
        <f t="shared" si="61"/>
        <v>1</v>
      </c>
      <c r="BI32" s="28">
        <f t="shared" si="61"/>
        <v>3</v>
      </c>
      <c r="BJ32" s="28">
        <f t="shared" si="61"/>
        <v>2</v>
      </c>
      <c r="BK32" s="28">
        <f t="shared" si="61"/>
        <v>1</v>
      </c>
      <c r="BL32" s="28">
        <f t="shared" si="61"/>
        <v>5</v>
      </c>
      <c r="BM32" s="28"/>
      <c r="BN32" s="28"/>
      <c r="BO32" s="30"/>
      <c r="BP32" s="30"/>
      <c r="BQ32" s="31"/>
      <c r="BR32" s="31"/>
      <c r="BS32" s="31"/>
      <c r="BT32" s="31"/>
      <c r="BU32" s="31"/>
      <c r="BV32" s="31"/>
      <c r="BW32" s="31"/>
      <c r="BX32" s="31"/>
      <c r="BY32" s="28"/>
      <c r="BZ32" s="28"/>
      <c r="CA32" s="28"/>
      <c r="CB32" s="28"/>
      <c r="CC32" s="32">
        <v>25.0</v>
      </c>
      <c r="CD32" s="33" t="s">
        <v>94</v>
      </c>
      <c r="CE32" s="32" t="s">
        <v>76</v>
      </c>
    </row>
    <row r="33">
      <c r="A33" s="84" t="s">
        <v>43</v>
      </c>
      <c r="B33" s="85">
        <v>2.0</v>
      </c>
      <c r="C33" s="85">
        <v>1.0</v>
      </c>
      <c r="D33" s="27" t="s">
        <v>76</v>
      </c>
      <c r="E33" s="27" t="s">
        <v>75</v>
      </c>
      <c r="F33" s="27" t="s">
        <v>77</v>
      </c>
      <c r="G33" s="27" t="s">
        <v>77</v>
      </c>
      <c r="H33" s="27" t="s">
        <v>77</v>
      </c>
      <c r="I33" s="27" t="s">
        <v>79</v>
      </c>
      <c r="J33" s="27" t="s">
        <v>76</v>
      </c>
      <c r="K33" s="27" t="s">
        <v>77</v>
      </c>
      <c r="L33" s="27" t="s">
        <v>79</v>
      </c>
      <c r="M33" s="27" t="s">
        <v>75</v>
      </c>
      <c r="N33" s="27" t="s">
        <v>79</v>
      </c>
      <c r="O33" s="27" t="s">
        <v>76</v>
      </c>
      <c r="P33" s="27" t="s">
        <v>78</v>
      </c>
      <c r="Q33" s="27" t="s">
        <v>76</v>
      </c>
      <c r="R33" s="27" t="s">
        <v>76</v>
      </c>
      <c r="S33" s="27">
        <f t="shared" ref="S33:AG33" si="62">COLUMN(INDIRECT(D33&amp;4))</f>
        <v>5</v>
      </c>
      <c r="T33" s="27">
        <f t="shared" si="62"/>
        <v>4</v>
      </c>
      <c r="U33" s="27">
        <f t="shared" si="62"/>
        <v>1</v>
      </c>
      <c r="V33" s="27">
        <f t="shared" si="62"/>
        <v>1</v>
      </c>
      <c r="W33" s="27">
        <f t="shared" si="62"/>
        <v>1</v>
      </c>
      <c r="X33" s="27">
        <f t="shared" si="62"/>
        <v>2</v>
      </c>
      <c r="Y33" s="27">
        <f t="shared" si="62"/>
        <v>5</v>
      </c>
      <c r="Z33" s="27">
        <f t="shared" si="62"/>
        <v>1</v>
      </c>
      <c r="AA33" s="27">
        <f t="shared" si="62"/>
        <v>2</v>
      </c>
      <c r="AB33" s="27">
        <f t="shared" si="62"/>
        <v>4</v>
      </c>
      <c r="AC33" s="27">
        <f t="shared" si="62"/>
        <v>2</v>
      </c>
      <c r="AD33" s="27">
        <f t="shared" si="62"/>
        <v>5</v>
      </c>
      <c r="AE33" s="27">
        <f t="shared" si="62"/>
        <v>3</v>
      </c>
      <c r="AF33" s="27">
        <f t="shared" si="62"/>
        <v>5</v>
      </c>
      <c r="AG33" s="27">
        <f t="shared" si="62"/>
        <v>5</v>
      </c>
      <c r="AH33" s="34" t="s">
        <v>79</v>
      </c>
      <c r="AI33" s="27" t="s">
        <v>79</v>
      </c>
      <c r="AJ33" s="27" t="s">
        <v>75</v>
      </c>
      <c r="AK33" s="27" t="s">
        <v>79</v>
      </c>
      <c r="AL33" s="27" t="s">
        <v>75</v>
      </c>
      <c r="AM33" s="27" t="s">
        <v>77</v>
      </c>
      <c r="AN33" s="27" t="s">
        <v>76</v>
      </c>
      <c r="AO33" s="27" t="s">
        <v>77</v>
      </c>
      <c r="AP33" s="27" t="s">
        <v>75</v>
      </c>
      <c r="AQ33" s="27" t="s">
        <v>79</v>
      </c>
      <c r="AR33" s="27" t="s">
        <v>78</v>
      </c>
      <c r="AS33" s="27" t="s">
        <v>79</v>
      </c>
      <c r="AT33" s="27" t="s">
        <v>79</v>
      </c>
      <c r="AU33" s="27" t="s">
        <v>75</v>
      </c>
      <c r="AV33" s="27" t="s">
        <v>79</v>
      </c>
      <c r="AW33" s="27" t="s">
        <v>76</v>
      </c>
      <c r="AX33" s="35">
        <f t="shared" ref="AX33:BL33" si="63">COLUMN(INDIRECT(AI33&amp;1))</f>
        <v>2</v>
      </c>
      <c r="AY33" s="35">
        <f t="shared" si="63"/>
        <v>4</v>
      </c>
      <c r="AZ33" s="35">
        <f t="shared" si="63"/>
        <v>2</v>
      </c>
      <c r="BA33" s="35">
        <f t="shared" si="63"/>
        <v>4</v>
      </c>
      <c r="BB33" s="35">
        <f t="shared" si="63"/>
        <v>1</v>
      </c>
      <c r="BC33" s="35">
        <f t="shared" si="63"/>
        <v>5</v>
      </c>
      <c r="BD33" s="35">
        <f t="shared" si="63"/>
        <v>1</v>
      </c>
      <c r="BE33" s="35">
        <f t="shared" si="63"/>
        <v>4</v>
      </c>
      <c r="BF33" s="35">
        <f t="shared" si="63"/>
        <v>2</v>
      </c>
      <c r="BG33" s="35">
        <f t="shared" si="63"/>
        <v>3</v>
      </c>
      <c r="BH33" s="35">
        <f t="shared" si="63"/>
        <v>2</v>
      </c>
      <c r="BI33" s="35">
        <f t="shared" si="63"/>
        <v>2</v>
      </c>
      <c r="BJ33" s="35">
        <f t="shared" si="63"/>
        <v>4</v>
      </c>
      <c r="BK33" s="35">
        <f t="shared" si="63"/>
        <v>2</v>
      </c>
      <c r="BL33" s="35">
        <f t="shared" si="63"/>
        <v>5</v>
      </c>
      <c r="BM33" s="35"/>
      <c r="BN33" s="35"/>
      <c r="BO33" s="36"/>
      <c r="BP33" s="36"/>
      <c r="BQ33" s="37"/>
      <c r="BR33" s="37"/>
      <c r="BS33" s="37"/>
      <c r="BT33" s="37"/>
      <c r="BU33" s="37"/>
      <c r="BV33" s="37"/>
      <c r="BW33" s="37"/>
      <c r="BX33" s="37"/>
      <c r="BY33" s="35"/>
      <c r="BZ33" s="35"/>
      <c r="CA33" s="35"/>
      <c r="CB33" s="35"/>
      <c r="CC33" s="32">
        <v>26.0</v>
      </c>
      <c r="CD33" s="33" t="s">
        <v>95</v>
      </c>
      <c r="CE33" s="32" t="s">
        <v>77</v>
      </c>
    </row>
    <row r="34">
      <c r="A34" s="7" t="s">
        <v>146</v>
      </c>
      <c r="B34" s="87">
        <v>2.0</v>
      </c>
      <c r="C34" s="87" t="s">
        <v>96</v>
      </c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>
        <f t="shared" ref="S34:AG34" si="64">SUM(S22:S33)/12</f>
        <v>4.416666667</v>
      </c>
      <c r="T34" s="84">
        <f t="shared" si="64"/>
        <v>3.25</v>
      </c>
      <c r="U34" s="84">
        <f t="shared" si="64"/>
        <v>1.833333333</v>
      </c>
      <c r="V34" s="84">
        <f t="shared" si="64"/>
        <v>1.833333333</v>
      </c>
      <c r="W34" s="84">
        <f t="shared" si="64"/>
        <v>1.833333333</v>
      </c>
      <c r="X34" s="84">
        <f t="shared" si="64"/>
        <v>2.25</v>
      </c>
      <c r="Y34" s="84">
        <f t="shared" si="64"/>
        <v>3.75</v>
      </c>
      <c r="Z34" s="84">
        <f t="shared" si="64"/>
        <v>2.083333333</v>
      </c>
      <c r="AA34" s="84">
        <f t="shared" si="64"/>
        <v>2</v>
      </c>
      <c r="AB34" s="84">
        <f t="shared" si="64"/>
        <v>2.75</v>
      </c>
      <c r="AC34" s="84">
        <f t="shared" si="64"/>
        <v>2.5</v>
      </c>
      <c r="AD34" s="84">
        <f t="shared" si="64"/>
        <v>3.916666667</v>
      </c>
      <c r="AE34" s="84">
        <f t="shared" si="64"/>
        <v>2.25</v>
      </c>
      <c r="AF34" s="84">
        <f t="shared" si="64"/>
        <v>4.416666667</v>
      </c>
      <c r="AG34" s="84">
        <f t="shared" si="64"/>
        <v>4.75</v>
      </c>
      <c r="AH34" s="84"/>
      <c r="AI34" s="84">
        <f t="shared" ref="AI34:BL34" si="65">SUM(AI22:AI33)/12</f>
        <v>0</v>
      </c>
      <c r="AJ34" s="84">
        <f t="shared" si="65"/>
        <v>0</v>
      </c>
      <c r="AK34" s="84">
        <f t="shared" si="65"/>
        <v>0</v>
      </c>
      <c r="AL34" s="84">
        <f t="shared" si="65"/>
        <v>0</v>
      </c>
      <c r="AM34" s="84">
        <f t="shared" si="65"/>
        <v>0</v>
      </c>
      <c r="AN34" s="84">
        <f t="shared" si="65"/>
        <v>0</v>
      </c>
      <c r="AO34" s="84">
        <f t="shared" si="65"/>
        <v>0</v>
      </c>
      <c r="AP34" s="84">
        <f t="shared" si="65"/>
        <v>0</v>
      </c>
      <c r="AQ34" s="84">
        <f t="shared" si="65"/>
        <v>0</v>
      </c>
      <c r="AR34" s="84">
        <f t="shared" si="65"/>
        <v>0</v>
      </c>
      <c r="AS34" s="84">
        <f t="shared" si="65"/>
        <v>0</v>
      </c>
      <c r="AT34" s="84">
        <f t="shared" si="65"/>
        <v>0</v>
      </c>
      <c r="AU34" s="84">
        <f t="shared" si="65"/>
        <v>0</v>
      </c>
      <c r="AV34" s="84">
        <f t="shared" si="65"/>
        <v>0</v>
      </c>
      <c r="AW34" s="84">
        <f t="shared" si="65"/>
        <v>0</v>
      </c>
      <c r="AX34" s="84">
        <f t="shared" si="65"/>
        <v>1.333333333</v>
      </c>
      <c r="AY34" s="84">
        <f t="shared" si="65"/>
        <v>2.916666667</v>
      </c>
      <c r="AZ34" s="84">
        <f t="shared" si="65"/>
        <v>3.416666667</v>
      </c>
      <c r="BA34" s="84">
        <f t="shared" si="65"/>
        <v>2.666666667</v>
      </c>
      <c r="BB34" s="84">
        <f t="shared" si="65"/>
        <v>1.416666667</v>
      </c>
      <c r="BC34" s="84">
        <f t="shared" si="65"/>
        <v>4.833333333</v>
      </c>
      <c r="BD34" s="84">
        <f t="shared" si="65"/>
        <v>2</v>
      </c>
      <c r="BE34" s="84">
        <f t="shared" si="65"/>
        <v>4.25</v>
      </c>
      <c r="BF34" s="84">
        <f t="shared" si="65"/>
        <v>2.333333333</v>
      </c>
      <c r="BG34" s="84">
        <f t="shared" si="65"/>
        <v>3.25</v>
      </c>
      <c r="BH34" s="84">
        <f t="shared" si="65"/>
        <v>2.166666667</v>
      </c>
      <c r="BI34" s="84">
        <f t="shared" si="65"/>
        <v>2.5</v>
      </c>
      <c r="BJ34" s="84">
        <f t="shared" si="65"/>
        <v>2.833333333</v>
      </c>
      <c r="BK34" s="84">
        <f t="shared" si="65"/>
        <v>1.666666667</v>
      </c>
      <c r="BL34" s="84">
        <f t="shared" si="65"/>
        <v>3.833333333</v>
      </c>
      <c r="BM34" s="35">
        <f t="shared" ref="BM34:BM38" si="68">SUM(S34:BL34)</f>
        <v>85.25</v>
      </c>
      <c r="BN34" s="35"/>
      <c r="BO34" s="30">
        <v>-4.0</v>
      </c>
      <c r="BP34" s="30">
        <v>3.0</v>
      </c>
      <c r="BQ34" s="31">
        <f t="shared" ref="BQ34:BT34" si="66">SUM(BX121+BX116+BX111)/3</f>
        <v>2.355555556</v>
      </c>
      <c r="BR34" s="31">
        <f t="shared" si="66"/>
        <v>2.488888889</v>
      </c>
      <c r="BS34" s="31">
        <f t="shared" si="66"/>
        <v>2.233333333</v>
      </c>
      <c r="BT34" s="31">
        <f t="shared" si="66"/>
        <v>2.475555556</v>
      </c>
      <c r="BU34" s="31" t="str">
        <f>SUM(#REF!+#REF!+#REF!)/3</f>
        <v>#REF!</v>
      </c>
      <c r="BV34" s="31">
        <f>SUM(CB121+CB116+CB111)/3</f>
        <v>0</v>
      </c>
      <c r="BW34" s="31">
        <v>3.0</v>
      </c>
      <c r="BX34" s="31">
        <f>SUM(AA14+BA34+V56+AY76+AA96)/5</f>
        <v>3.1</v>
      </c>
      <c r="BY34" s="35"/>
      <c r="BZ34" s="35"/>
      <c r="CA34" s="35"/>
      <c r="CB34" s="35"/>
      <c r="CC34" s="32"/>
      <c r="CD34" s="33"/>
      <c r="CE34" s="32"/>
    </row>
    <row r="35">
      <c r="A35" s="84" t="s">
        <v>141</v>
      </c>
      <c r="B35" s="88">
        <v>2.0</v>
      </c>
      <c r="C35" s="88">
        <v>1.0</v>
      </c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>
        <f t="shared" ref="S35:BL35" si="67">SUM(S28:S33)/6</f>
        <v>4.333333333</v>
      </c>
      <c r="T35" s="84">
        <f t="shared" si="67"/>
        <v>3.166666667</v>
      </c>
      <c r="U35" s="84">
        <f t="shared" si="67"/>
        <v>1.666666667</v>
      </c>
      <c r="V35" s="84">
        <f t="shared" si="67"/>
        <v>1.833333333</v>
      </c>
      <c r="W35" s="84">
        <f t="shared" si="67"/>
        <v>2</v>
      </c>
      <c r="X35" s="84">
        <f t="shared" si="67"/>
        <v>1.666666667</v>
      </c>
      <c r="Y35" s="84">
        <f t="shared" si="67"/>
        <v>3.666666667</v>
      </c>
      <c r="Z35" s="84">
        <f t="shared" si="67"/>
        <v>1.833333333</v>
      </c>
      <c r="AA35" s="84">
        <f t="shared" si="67"/>
        <v>2.333333333</v>
      </c>
      <c r="AB35" s="84">
        <f t="shared" si="67"/>
        <v>2</v>
      </c>
      <c r="AC35" s="84">
        <f t="shared" si="67"/>
        <v>2.666666667</v>
      </c>
      <c r="AD35" s="84">
        <f t="shared" si="67"/>
        <v>3.833333333</v>
      </c>
      <c r="AE35" s="84">
        <f t="shared" si="67"/>
        <v>2</v>
      </c>
      <c r="AF35" s="84">
        <f t="shared" si="67"/>
        <v>4.333333333</v>
      </c>
      <c r="AG35" s="84">
        <f t="shared" si="67"/>
        <v>4.833333333</v>
      </c>
      <c r="AH35" s="84">
        <f t="shared" si="67"/>
        <v>0</v>
      </c>
      <c r="AI35" s="84">
        <f t="shared" si="67"/>
        <v>0</v>
      </c>
      <c r="AJ35" s="84">
        <f t="shared" si="67"/>
        <v>0</v>
      </c>
      <c r="AK35" s="84">
        <f t="shared" si="67"/>
        <v>0</v>
      </c>
      <c r="AL35" s="84">
        <f t="shared" si="67"/>
        <v>0</v>
      </c>
      <c r="AM35" s="84">
        <f t="shared" si="67"/>
        <v>0</v>
      </c>
      <c r="AN35" s="84">
        <f t="shared" si="67"/>
        <v>0</v>
      </c>
      <c r="AO35" s="84">
        <f t="shared" si="67"/>
        <v>0</v>
      </c>
      <c r="AP35" s="84">
        <f t="shared" si="67"/>
        <v>0</v>
      </c>
      <c r="AQ35" s="84">
        <f t="shared" si="67"/>
        <v>0</v>
      </c>
      <c r="AR35" s="84">
        <f t="shared" si="67"/>
        <v>0</v>
      </c>
      <c r="AS35" s="84">
        <f t="shared" si="67"/>
        <v>0</v>
      </c>
      <c r="AT35" s="84">
        <f t="shared" si="67"/>
        <v>0</v>
      </c>
      <c r="AU35" s="84">
        <f t="shared" si="67"/>
        <v>0</v>
      </c>
      <c r="AV35" s="84">
        <f t="shared" si="67"/>
        <v>0</v>
      </c>
      <c r="AW35" s="84">
        <f t="shared" si="67"/>
        <v>0</v>
      </c>
      <c r="AX35" s="84">
        <f t="shared" si="67"/>
        <v>1.5</v>
      </c>
      <c r="AY35" s="84">
        <f t="shared" si="67"/>
        <v>3.166666667</v>
      </c>
      <c r="AZ35" s="84">
        <f t="shared" si="67"/>
        <v>2.833333333</v>
      </c>
      <c r="BA35" s="84">
        <f t="shared" si="67"/>
        <v>2.333333333</v>
      </c>
      <c r="BB35" s="84">
        <f t="shared" si="67"/>
        <v>1.333333333</v>
      </c>
      <c r="BC35" s="84">
        <f t="shared" si="67"/>
        <v>4.833333333</v>
      </c>
      <c r="BD35" s="84">
        <f t="shared" si="67"/>
        <v>2.166666667</v>
      </c>
      <c r="BE35" s="84">
        <f t="shared" si="67"/>
        <v>4.5</v>
      </c>
      <c r="BF35" s="84">
        <f t="shared" si="67"/>
        <v>2.166666667</v>
      </c>
      <c r="BG35" s="84">
        <f t="shared" si="67"/>
        <v>2.833333333</v>
      </c>
      <c r="BH35" s="84">
        <f t="shared" si="67"/>
        <v>2.333333333</v>
      </c>
      <c r="BI35" s="84">
        <f t="shared" si="67"/>
        <v>1.833333333</v>
      </c>
      <c r="BJ35" s="84">
        <f t="shared" si="67"/>
        <v>2.666666667</v>
      </c>
      <c r="BK35" s="84">
        <f t="shared" si="67"/>
        <v>1.333333333</v>
      </c>
      <c r="BL35" s="84">
        <f t="shared" si="67"/>
        <v>3.333333333</v>
      </c>
      <c r="BM35" s="84">
        <f t="shared" si="68"/>
        <v>81.33333333</v>
      </c>
      <c r="BN35" s="84">
        <f>SUM(S35:AG35)+SUM(AX36:BL36)</f>
        <v>85.83333333</v>
      </c>
      <c r="BO35" s="89"/>
      <c r="BP35" s="89"/>
      <c r="BQ35" s="69"/>
      <c r="BR35" s="69"/>
      <c r="BS35" s="69"/>
      <c r="BT35" s="69"/>
      <c r="BU35" s="69"/>
      <c r="BV35" s="69"/>
      <c r="BW35" s="69"/>
      <c r="BX35" s="69"/>
      <c r="BY35" s="84"/>
      <c r="BZ35" s="84"/>
      <c r="CA35" s="84"/>
      <c r="CB35" s="84"/>
      <c r="CC35" s="90"/>
      <c r="CD35" s="91"/>
      <c r="CE35" s="90"/>
    </row>
    <row r="36">
      <c r="A36" s="7" t="s">
        <v>164</v>
      </c>
      <c r="B36" s="87">
        <v>2.0</v>
      </c>
      <c r="C36" s="87">
        <v>2.0</v>
      </c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>
        <f t="shared" ref="S36:BL36" si="69">SUM(S22:S27)/6</f>
        <v>4.5</v>
      </c>
      <c r="T36" s="84">
        <f t="shared" si="69"/>
        <v>3.333333333</v>
      </c>
      <c r="U36" s="84">
        <f t="shared" si="69"/>
        <v>2</v>
      </c>
      <c r="V36" s="84">
        <f t="shared" si="69"/>
        <v>1.833333333</v>
      </c>
      <c r="W36" s="84">
        <f t="shared" si="69"/>
        <v>1.666666667</v>
      </c>
      <c r="X36" s="84">
        <f t="shared" si="69"/>
        <v>2.833333333</v>
      </c>
      <c r="Y36" s="84">
        <f t="shared" si="69"/>
        <v>3.833333333</v>
      </c>
      <c r="Z36" s="84">
        <f t="shared" si="69"/>
        <v>2.333333333</v>
      </c>
      <c r="AA36" s="84">
        <f t="shared" si="69"/>
        <v>1.666666667</v>
      </c>
      <c r="AB36" s="84">
        <f t="shared" si="69"/>
        <v>3.5</v>
      </c>
      <c r="AC36" s="84">
        <f t="shared" si="69"/>
        <v>2.333333333</v>
      </c>
      <c r="AD36" s="84">
        <f t="shared" si="69"/>
        <v>4</v>
      </c>
      <c r="AE36" s="84">
        <f t="shared" si="69"/>
        <v>2.5</v>
      </c>
      <c r="AF36" s="84">
        <f t="shared" si="69"/>
        <v>4.5</v>
      </c>
      <c r="AG36" s="84">
        <f t="shared" si="69"/>
        <v>4.666666667</v>
      </c>
      <c r="AH36" s="84">
        <f t="shared" si="69"/>
        <v>0</v>
      </c>
      <c r="AI36" s="84">
        <f t="shared" si="69"/>
        <v>0</v>
      </c>
      <c r="AJ36" s="84">
        <f t="shared" si="69"/>
        <v>0</v>
      </c>
      <c r="AK36" s="84">
        <f t="shared" si="69"/>
        <v>0</v>
      </c>
      <c r="AL36" s="84">
        <f t="shared" si="69"/>
        <v>0</v>
      </c>
      <c r="AM36" s="84">
        <f t="shared" si="69"/>
        <v>0</v>
      </c>
      <c r="AN36" s="84">
        <f t="shared" si="69"/>
        <v>0</v>
      </c>
      <c r="AO36" s="84">
        <f t="shared" si="69"/>
        <v>0</v>
      </c>
      <c r="AP36" s="84">
        <f t="shared" si="69"/>
        <v>0</v>
      </c>
      <c r="AQ36" s="84">
        <f t="shared" si="69"/>
        <v>0</v>
      </c>
      <c r="AR36" s="84">
        <f t="shared" si="69"/>
        <v>0</v>
      </c>
      <c r="AS36" s="84">
        <f t="shared" si="69"/>
        <v>0</v>
      </c>
      <c r="AT36" s="84">
        <f t="shared" si="69"/>
        <v>0</v>
      </c>
      <c r="AU36" s="84">
        <f t="shared" si="69"/>
        <v>0</v>
      </c>
      <c r="AV36" s="84">
        <f t="shared" si="69"/>
        <v>0</v>
      </c>
      <c r="AW36" s="84">
        <f t="shared" si="69"/>
        <v>0</v>
      </c>
      <c r="AX36" s="84">
        <f t="shared" si="69"/>
        <v>1.166666667</v>
      </c>
      <c r="AY36" s="84">
        <f t="shared" si="69"/>
        <v>2.666666667</v>
      </c>
      <c r="AZ36" s="84">
        <f t="shared" si="69"/>
        <v>4</v>
      </c>
      <c r="BA36" s="84">
        <f t="shared" si="69"/>
        <v>3</v>
      </c>
      <c r="BB36" s="84">
        <f t="shared" si="69"/>
        <v>1.5</v>
      </c>
      <c r="BC36" s="84">
        <f t="shared" si="69"/>
        <v>4.833333333</v>
      </c>
      <c r="BD36" s="84">
        <f t="shared" si="69"/>
        <v>1.833333333</v>
      </c>
      <c r="BE36" s="84">
        <f t="shared" si="69"/>
        <v>4</v>
      </c>
      <c r="BF36" s="84">
        <f t="shared" si="69"/>
        <v>2.5</v>
      </c>
      <c r="BG36" s="84">
        <f t="shared" si="69"/>
        <v>3.666666667</v>
      </c>
      <c r="BH36" s="84">
        <f t="shared" si="69"/>
        <v>2</v>
      </c>
      <c r="BI36" s="84">
        <f t="shared" si="69"/>
        <v>3.166666667</v>
      </c>
      <c r="BJ36" s="84">
        <f t="shared" si="69"/>
        <v>3</v>
      </c>
      <c r="BK36" s="84">
        <f t="shared" si="69"/>
        <v>2</v>
      </c>
      <c r="BL36" s="84">
        <f t="shared" si="69"/>
        <v>4.333333333</v>
      </c>
      <c r="BM36" s="84">
        <f t="shared" si="68"/>
        <v>89.16666667</v>
      </c>
      <c r="BN36" s="84">
        <f t="shared" ref="BN36:BN37" si="71">SUM(S36:AG36)+SUM(AX35:BL35)</f>
        <v>84.66666667</v>
      </c>
      <c r="BO36" s="89"/>
      <c r="BP36" s="89"/>
      <c r="BQ36" s="69"/>
      <c r="BR36" s="69"/>
      <c r="BS36" s="69"/>
      <c r="BT36" s="69"/>
      <c r="BU36" s="69"/>
      <c r="BV36" s="69"/>
      <c r="BW36" s="69"/>
      <c r="BX36" s="69"/>
      <c r="BY36" s="84"/>
      <c r="BZ36" s="84"/>
      <c r="CA36" s="84"/>
      <c r="CB36" s="84"/>
      <c r="CC36" s="90"/>
      <c r="CD36" s="91"/>
      <c r="CE36" s="90"/>
    </row>
    <row r="37">
      <c r="A37" s="84" t="s">
        <v>143</v>
      </c>
      <c r="B37" s="87">
        <v>2.0</v>
      </c>
      <c r="C37" s="87">
        <v>1.0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>
        <f t="shared" ref="S37:BL37" si="70">SUM(S30:S33)/4</f>
        <v>5</v>
      </c>
      <c r="T37" s="84">
        <f t="shared" si="70"/>
        <v>4</v>
      </c>
      <c r="U37" s="84">
        <f t="shared" si="70"/>
        <v>1.75</v>
      </c>
      <c r="V37" s="84">
        <f t="shared" si="70"/>
        <v>1.75</v>
      </c>
      <c r="W37" s="84">
        <f t="shared" si="70"/>
        <v>1.75</v>
      </c>
      <c r="X37" s="84">
        <f t="shared" si="70"/>
        <v>1.5</v>
      </c>
      <c r="Y37" s="84">
        <f t="shared" si="70"/>
        <v>4</v>
      </c>
      <c r="Z37" s="84">
        <f t="shared" si="70"/>
        <v>2.25</v>
      </c>
      <c r="AA37" s="84">
        <f t="shared" si="70"/>
        <v>3</v>
      </c>
      <c r="AB37" s="84">
        <f t="shared" si="70"/>
        <v>2.5</v>
      </c>
      <c r="AC37" s="84">
        <f t="shared" si="70"/>
        <v>2.5</v>
      </c>
      <c r="AD37" s="84">
        <f t="shared" si="70"/>
        <v>4.5</v>
      </c>
      <c r="AE37" s="84">
        <f t="shared" si="70"/>
        <v>2</v>
      </c>
      <c r="AF37" s="84">
        <f t="shared" si="70"/>
        <v>4.75</v>
      </c>
      <c r="AG37" s="84">
        <f t="shared" si="70"/>
        <v>4.75</v>
      </c>
      <c r="AH37" s="84">
        <f t="shared" si="70"/>
        <v>0</v>
      </c>
      <c r="AI37" s="84">
        <f t="shared" si="70"/>
        <v>0</v>
      </c>
      <c r="AJ37" s="84">
        <f t="shared" si="70"/>
        <v>0</v>
      </c>
      <c r="AK37" s="84">
        <f t="shared" si="70"/>
        <v>0</v>
      </c>
      <c r="AL37" s="84">
        <f t="shared" si="70"/>
        <v>0</v>
      </c>
      <c r="AM37" s="84">
        <f t="shared" si="70"/>
        <v>0</v>
      </c>
      <c r="AN37" s="84">
        <f t="shared" si="70"/>
        <v>0</v>
      </c>
      <c r="AO37" s="84">
        <f t="shared" si="70"/>
        <v>0</v>
      </c>
      <c r="AP37" s="84">
        <f t="shared" si="70"/>
        <v>0</v>
      </c>
      <c r="AQ37" s="84">
        <f t="shared" si="70"/>
        <v>0</v>
      </c>
      <c r="AR37" s="84">
        <f t="shared" si="70"/>
        <v>0</v>
      </c>
      <c r="AS37" s="84">
        <f t="shared" si="70"/>
        <v>0</v>
      </c>
      <c r="AT37" s="84">
        <f t="shared" si="70"/>
        <v>0</v>
      </c>
      <c r="AU37" s="84">
        <f t="shared" si="70"/>
        <v>0</v>
      </c>
      <c r="AV37" s="84">
        <f t="shared" si="70"/>
        <v>0</v>
      </c>
      <c r="AW37" s="84">
        <f t="shared" si="70"/>
        <v>0</v>
      </c>
      <c r="AX37" s="84">
        <f t="shared" si="70"/>
        <v>1.75</v>
      </c>
      <c r="AY37" s="84">
        <f t="shared" si="70"/>
        <v>3.25</v>
      </c>
      <c r="AZ37" s="84">
        <f t="shared" si="70"/>
        <v>2.75</v>
      </c>
      <c r="BA37" s="84">
        <f t="shared" si="70"/>
        <v>2.75</v>
      </c>
      <c r="BB37" s="84">
        <f t="shared" si="70"/>
        <v>1.25</v>
      </c>
      <c r="BC37" s="84">
        <f t="shared" si="70"/>
        <v>4.75</v>
      </c>
      <c r="BD37" s="84">
        <f t="shared" si="70"/>
        <v>1.75</v>
      </c>
      <c r="BE37" s="84">
        <f t="shared" si="70"/>
        <v>4.25</v>
      </c>
      <c r="BF37" s="84">
        <f t="shared" si="70"/>
        <v>2</v>
      </c>
      <c r="BG37" s="84">
        <f t="shared" si="70"/>
        <v>2.25</v>
      </c>
      <c r="BH37" s="84">
        <f t="shared" si="70"/>
        <v>2.25</v>
      </c>
      <c r="BI37" s="84">
        <f t="shared" si="70"/>
        <v>2.25</v>
      </c>
      <c r="BJ37" s="84">
        <f t="shared" si="70"/>
        <v>3</v>
      </c>
      <c r="BK37" s="84">
        <f t="shared" si="70"/>
        <v>1.5</v>
      </c>
      <c r="BL37" s="84">
        <f t="shared" si="70"/>
        <v>4.25</v>
      </c>
      <c r="BM37" s="84">
        <f t="shared" si="68"/>
        <v>86</v>
      </c>
      <c r="BN37" s="84">
        <f t="shared" si="71"/>
        <v>89.66666667</v>
      </c>
      <c r="BO37" s="89">
        <f>SUM(S36:AG36)+SUM(AX37:BL37)</f>
        <v>85.5</v>
      </c>
      <c r="BP37" s="89"/>
      <c r="BQ37" s="69"/>
      <c r="BR37" s="69"/>
      <c r="BS37" s="69"/>
      <c r="BT37" s="69"/>
      <c r="BU37" s="69"/>
      <c r="BV37" s="69"/>
      <c r="BW37" s="69"/>
      <c r="BX37" s="69"/>
      <c r="BY37" s="84"/>
      <c r="BZ37" s="84"/>
      <c r="CA37" s="84"/>
      <c r="CB37" s="84"/>
      <c r="CC37" s="90"/>
      <c r="CD37" s="91"/>
      <c r="CE37" s="90"/>
    </row>
    <row r="38">
      <c r="A38" s="84" t="s">
        <v>144</v>
      </c>
      <c r="B38" s="88">
        <v>1.0</v>
      </c>
      <c r="C38" s="88">
        <v>1.0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>
        <f t="shared" ref="S38:BL38" si="72">SUM(S28:S29)/2</f>
        <v>3</v>
      </c>
      <c r="T38" s="84">
        <f t="shared" si="72"/>
        <v>1.5</v>
      </c>
      <c r="U38" s="84">
        <f t="shared" si="72"/>
        <v>1.5</v>
      </c>
      <c r="V38" s="84">
        <f t="shared" si="72"/>
        <v>2</v>
      </c>
      <c r="W38" s="84">
        <f t="shared" si="72"/>
        <v>2.5</v>
      </c>
      <c r="X38" s="84">
        <f t="shared" si="72"/>
        <v>2</v>
      </c>
      <c r="Y38" s="84">
        <f t="shared" si="72"/>
        <v>3</v>
      </c>
      <c r="Z38" s="84">
        <f t="shared" si="72"/>
        <v>1</v>
      </c>
      <c r="AA38" s="84">
        <f t="shared" si="72"/>
        <v>1</v>
      </c>
      <c r="AB38" s="84">
        <f t="shared" si="72"/>
        <v>1</v>
      </c>
      <c r="AC38" s="84">
        <f t="shared" si="72"/>
        <v>3</v>
      </c>
      <c r="AD38" s="84">
        <f t="shared" si="72"/>
        <v>2.5</v>
      </c>
      <c r="AE38" s="84">
        <f t="shared" si="72"/>
        <v>2</v>
      </c>
      <c r="AF38" s="84">
        <f t="shared" si="72"/>
        <v>3.5</v>
      </c>
      <c r="AG38" s="84">
        <f t="shared" si="72"/>
        <v>5</v>
      </c>
      <c r="AH38" s="84">
        <f t="shared" si="72"/>
        <v>0</v>
      </c>
      <c r="AI38" s="84">
        <f t="shared" si="72"/>
        <v>0</v>
      </c>
      <c r="AJ38" s="84">
        <f t="shared" si="72"/>
        <v>0</v>
      </c>
      <c r="AK38" s="84">
        <f t="shared" si="72"/>
        <v>0</v>
      </c>
      <c r="AL38" s="84">
        <f t="shared" si="72"/>
        <v>0</v>
      </c>
      <c r="AM38" s="84">
        <f t="shared" si="72"/>
        <v>0</v>
      </c>
      <c r="AN38" s="84">
        <f t="shared" si="72"/>
        <v>0</v>
      </c>
      <c r="AO38" s="84">
        <f t="shared" si="72"/>
        <v>0</v>
      </c>
      <c r="AP38" s="84">
        <f t="shared" si="72"/>
        <v>0</v>
      </c>
      <c r="AQ38" s="84">
        <f t="shared" si="72"/>
        <v>0</v>
      </c>
      <c r="AR38" s="84">
        <f t="shared" si="72"/>
        <v>0</v>
      </c>
      <c r="AS38" s="84">
        <f t="shared" si="72"/>
        <v>0</v>
      </c>
      <c r="AT38" s="84">
        <f t="shared" si="72"/>
        <v>0</v>
      </c>
      <c r="AU38" s="84">
        <f t="shared" si="72"/>
        <v>0</v>
      </c>
      <c r="AV38" s="84">
        <f t="shared" si="72"/>
        <v>0</v>
      </c>
      <c r="AW38" s="84">
        <f t="shared" si="72"/>
        <v>0</v>
      </c>
      <c r="AX38" s="84">
        <f t="shared" si="72"/>
        <v>1</v>
      </c>
      <c r="AY38" s="84">
        <f t="shared" si="72"/>
        <v>3</v>
      </c>
      <c r="AZ38" s="84">
        <f t="shared" si="72"/>
        <v>3</v>
      </c>
      <c r="BA38" s="84">
        <f t="shared" si="72"/>
        <v>1.5</v>
      </c>
      <c r="BB38" s="84">
        <f t="shared" si="72"/>
        <v>1.5</v>
      </c>
      <c r="BC38" s="84">
        <f t="shared" si="72"/>
        <v>5</v>
      </c>
      <c r="BD38" s="84">
        <f t="shared" si="72"/>
        <v>3</v>
      </c>
      <c r="BE38" s="84">
        <f t="shared" si="72"/>
        <v>5</v>
      </c>
      <c r="BF38" s="84">
        <f t="shared" si="72"/>
        <v>2.5</v>
      </c>
      <c r="BG38" s="84">
        <f t="shared" si="72"/>
        <v>4</v>
      </c>
      <c r="BH38" s="84">
        <f t="shared" si="72"/>
        <v>2.5</v>
      </c>
      <c r="BI38" s="84">
        <f t="shared" si="72"/>
        <v>1</v>
      </c>
      <c r="BJ38" s="84">
        <f t="shared" si="72"/>
        <v>2</v>
      </c>
      <c r="BK38" s="84">
        <f t="shared" si="72"/>
        <v>1</v>
      </c>
      <c r="BL38" s="84">
        <f t="shared" si="72"/>
        <v>1.5</v>
      </c>
      <c r="BM38" s="84">
        <f t="shared" si="68"/>
        <v>72</v>
      </c>
      <c r="BN38" s="84">
        <f>SUM(S38:AG38)</f>
        <v>34.5</v>
      </c>
      <c r="BO38" s="89"/>
      <c r="BP38" s="89"/>
      <c r="BQ38" s="69"/>
      <c r="BR38" s="69"/>
      <c r="BS38" s="69"/>
      <c r="BT38" s="69"/>
      <c r="BU38" s="69"/>
      <c r="BV38" s="69"/>
      <c r="BW38" s="69"/>
      <c r="BX38" s="69"/>
      <c r="BY38" s="84"/>
      <c r="BZ38" s="84"/>
      <c r="CA38" s="84"/>
      <c r="CB38" s="84"/>
      <c r="CC38" s="90"/>
      <c r="CD38" s="91"/>
      <c r="CE38" s="90"/>
    </row>
    <row r="39" hidden="1">
      <c r="A39" s="84"/>
      <c r="B39" s="88"/>
      <c r="C39" s="88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7">
        <f>SUM(AX38:BL38)/SUM(AX42:BL42)</f>
        <v>0.8928571429</v>
      </c>
      <c r="BN39" s="69">
        <f>SUM(S38:AG38)/SUM(S42:AG42)</f>
        <v>0.71875</v>
      </c>
      <c r="BO39" s="89"/>
      <c r="BP39" s="8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90"/>
      <c r="CD39" s="91"/>
      <c r="CE39" s="90"/>
    </row>
    <row r="40" hidden="1">
      <c r="A40" s="84"/>
      <c r="B40" s="88"/>
      <c r="C40" s="88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7"/>
      <c r="BN40" s="69"/>
      <c r="BO40" s="89"/>
      <c r="BP40" s="8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90"/>
      <c r="CD40" s="91"/>
      <c r="CE40" s="90"/>
    </row>
    <row r="41">
      <c r="A41" s="84" t="s">
        <v>140</v>
      </c>
      <c r="B41" s="88">
        <v>2.0</v>
      </c>
      <c r="C41" s="88">
        <v>2.0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>
        <f t="shared" ref="S41:BL41" si="73">SUM(S22:S27)/6</f>
        <v>4.5</v>
      </c>
      <c r="T41" s="84">
        <f t="shared" si="73"/>
        <v>3.333333333</v>
      </c>
      <c r="U41" s="84">
        <f t="shared" si="73"/>
        <v>2</v>
      </c>
      <c r="V41" s="84">
        <f t="shared" si="73"/>
        <v>1.833333333</v>
      </c>
      <c r="W41" s="84">
        <f t="shared" si="73"/>
        <v>1.666666667</v>
      </c>
      <c r="X41" s="84">
        <f t="shared" si="73"/>
        <v>2.833333333</v>
      </c>
      <c r="Y41" s="84">
        <f t="shared" si="73"/>
        <v>3.833333333</v>
      </c>
      <c r="Z41" s="84">
        <f t="shared" si="73"/>
        <v>2.333333333</v>
      </c>
      <c r="AA41" s="84">
        <f t="shared" si="73"/>
        <v>1.666666667</v>
      </c>
      <c r="AB41" s="84">
        <f t="shared" si="73"/>
        <v>3.5</v>
      </c>
      <c r="AC41" s="84">
        <f t="shared" si="73"/>
        <v>2.333333333</v>
      </c>
      <c r="AD41" s="84">
        <f t="shared" si="73"/>
        <v>4</v>
      </c>
      <c r="AE41" s="84">
        <f t="shared" si="73"/>
        <v>2.5</v>
      </c>
      <c r="AF41" s="84">
        <f t="shared" si="73"/>
        <v>4.5</v>
      </c>
      <c r="AG41" s="84">
        <f t="shared" si="73"/>
        <v>4.666666667</v>
      </c>
      <c r="AH41" s="84">
        <f t="shared" si="73"/>
        <v>0</v>
      </c>
      <c r="AI41" s="84">
        <f t="shared" si="73"/>
        <v>0</v>
      </c>
      <c r="AJ41" s="84">
        <f t="shared" si="73"/>
        <v>0</v>
      </c>
      <c r="AK41" s="84">
        <f t="shared" si="73"/>
        <v>0</v>
      </c>
      <c r="AL41" s="84">
        <f t="shared" si="73"/>
        <v>0</v>
      </c>
      <c r="AM41" s="84">
        <f t="shared" si="73"/>
        <v>0</v>
      </c>
      <c r="AN41" s="84">
        <f t="shared" si="73"/>
        <v>0</v>
      </c>
      <c r="AO41" s="84">
        <f t="shared" si="73"/>
        <v>0</v>
      </c>
      <c r="AP41" s="84">
        <f t="shared" si="73"/>
        <v>0</v>
      </c>
      <c r="AQ41" s="84">
        <f t="shared" si="73"/>
        <v>0</v>
      </c>
      <c r="AR41" s="84">
        <f t="shared" si="73"/>
        <v>0</v>
      </c>
      <c r="AS41" s="84">
        <f t="shared" si="73"/>
        <v>0</v>
      </c>
      <c r="AT41" s="84">
        <f t="shared" si="73"/>
        <v>0</v>
      </c>
      <c r="AU41" s="84">
        <f t="shared" si="73"/>
        <v>0</v>
      </c>
      <c r="AV41" s="84">
        <f t="shared" si="73"/>
        <v>0</v>
      </c>
      <c r="AW41" s="84">
        <f t="shared" si="73"/>
        <v>0</v>
      </c>
      <c r="AX41" s="84">
        <f t="shared" si="73"/>
        <v>1.166666667</v>
      </c>
      <c r="AY41" s="84">
        <f t="shared" si="73"/>
        <v>2.666666667</v>
      </c>
      <c r="AZ41" s="84">
        <f t="shared" si="73"/>
        <v>4</v>
      </c>
      <c r="BA41" s="84">
        <f t="shared" si="73"/>
        <v>3</v>
      </c>
      <c r="BB41" s="84">
        <f t="shared" si="73"/>
        <v>1.5</v>
      </c>
      <c r="BC41" s="84">
        <f t="shared" si="73"/>
        <v>4.833333333</v>
      </c>
      <c r="BD41" s="84">
        <f t="shared" si="73"/>
        <v>1.833333333</v>
      </c>
      <c r="BE41" s="84">
        <f t="shared" si="73"/>
        <v>4</v>
      </c>
      <c r="BF41" s="84">
        <f t="shared" si="73"/>
        <v>2.5</v>
      </c>
      <c r="BG41" s="84">
        <f t="shared" si="73"/>
        <v>3.666666667</v>
      </c>
      <c r="BH41" s="84">
        <f t="shared" si="73"/>
        <v>2</v>
      </c>
      <c r="BI41" s="84">
        <f t="shared" si="73"/>
        <v>3.166666667</v>
      </c>
      <c r="BJ41" s="84">
        <f t="shared" si="73"/>
        <v>3</v>
      </c>
      <c r="BK41" s="84">
        <f t="shared" si="73"/>
        <v>2</v>
      </c>
      <c r="BL41" s="84">
        <f t="shared" si="73"/>
        <v>4.333333333</v>
      </c>
      <c r="BM41" s="84">
        <f>SUM(C41:BL41)</f>
        <v>91.16666667</v>
      </c>
      <c r="BN41" s="84">
        <f>SUM(S41:AG41)+SUM(AX35:BL35)</f>
        <v>84.66666667</v>
      </c>
      <c r="BO41" s="89"/>
      <c r="BP41" s="89"/>
      <c r="BQ41" s="69"/>
      <c r="BR41" s="69"/>
      <c r="BS41" s="69"/>
      <c r="BT41" s="69"/>
      <c r="BU41" s="69"/>
      <c r="BV41" s="69"/>
      <c r="BW41" s="69">
        <v>3.0</v>
      </c>
      <c r="BX41" s="69"/>
      <c r="BY41" s="84">
        <f>SUM(AA15+BA41+V57+AY77+AA97)/5</f>
        <v>3.4</v>
      </c>
      <c r="BZ41" s="84">
        <f>SUM(AA16+BA35+V58+AY78+AA98)/5</f>
        <v>2.8</v>
      </c>
      <c r="CA41" s="84">
        <f>SUM(AA17+BA36+V59+AY79+AA99)/5</f>
        <v>3.36</v>
      </c>
      <c r="CB41" s="92"/>
      <c r="CC41" s="90"/>
      <c r="CD41" s="91"/>
      <c r="CE41" s="90"/>
    </row>
    <row r="42">
      <c r="A42" s="93" t="s">
        <v>80</v>
      </c>
      <c r="B42" s="94">
        <v>2.0</v>
      </c>
      <c r="C42" s="94" t="s">
        <v>96</v>
      </c>
      <c r="D42" s="93" t="s">
        <v>76</v>
      </c>
      <c r="E42" s="93" t="s">
        <v>78</v>
      </c>
      <c r="F42" s="93" t="s">
        <v>79</v>
      </c>
      <c r="G42" s="93" t="s">
        <v>78</v>
      </c>
      <c r="H42" s="93" t="s">
        <v>75</v>
      </c>
      <c r="I42" s="93" t="s">
        <v>77</v>
      </c>
      <c r="J42" s="93" t="s">
        <v>75</v>
      </c>
      <c r="K42" s="93" t="s">
        <v>76</v>
      </c>
      <c r="L42" s="93" t="s">
        <v>77</v>
      </c>
      <c r="M42" s="93" t="s">
        <v>78</v>
      </c>
      <c r="N42" s="93" t="s">
        <v>79</v>
      </c>
      <c r="O42" s="93" t="s">
        <v>75</v>
      </c>
      <c r="P42" s="93" t="s">
        <v>79</v>
      </c>
      <c r="Q42" s="93" t="s">
        <v>76</v>
      </c>
      <c r="R42" s="93" t="s">
        <v>75</v>
      </c>
      <c r="S42" s="84">
        <f t="shared" ref="S42:AG42" si="74">COLUMN(INDIRECT(D42&amp;4))</f>
        <v>5</v>
      </c>
      <c r="T42" s="84">
        <f t="shared" si="74"/>
        <v>3</v>
      </c>
      <c r="U42" s="84">
        <f t="shared" si="74"/>
        <v>2</v>
      </c>
      <c r="V42" s="84">
        <f t="shared" si="74"/>
        <v>3</v>
      </c>
      <c r="W42" s="84">
        <f t="shared" si="74"/>
        <v>4</v>
      </c>
      <c r="X42" s="84">
        <f t="shared" si="74"/>
        <v>1</v>
      </c>
      <c r="Y42" s="84">
        <f t="shared" si="74"/>
        <v>4</v>
      </c>
      <c r="Z42" s="84">
        <f t="shared" si="74"/>
        <v>5</v>
      </c>
      <c r="AA42" s="84">
        <f t="shared" si="74"/>
        <v>1</v>
      </c>
      <c r="AB42" s="84">
        <f t="shared" si="74"/>
        <v>3</v>
      </c>
      <c r="AC42" s="84">
        <f t="shared" si="74"/>
        <v>2</v>
      </c>
      <c r="AD42" s="84">
        <f t="shared" si="74"/>
        <v>4</v>
      </c>
      <c r="AE42" s="84">
        <f t="shared" si="74"/>
        <v>2</v>
      </c>
      <c r="AF42" s="84">
        <f t="shared" si="74"/>
        <v>5</v>
      </c>
      <c r="AG42" s="84">
        <f t="shared" si="74"/>
        <v>4</v>
      </c>
      <c r="AH42" s="94" t="s">
        <v>96</v>
      </c>
      <c r="AI42" s="93" t="s">
        <v>77</v>
      </c>
      <c r="AJ42" s="93" t="s">
        <v>75</v>
      </c>
      <c r="AK42" s="93" t="s">
        <v>75</v>
      </c>
      <c r="AL42" s="93" t="s">
        <v>78</v>
      </c>
      <c r="AM42" s="93" t="s">
        <v>77</v>
      </c>
      <c r="AN42" s="93" t="s">
        <v>76</v>
      </c>
      <c r="AO42" s="93" t="s">
        <v>77</v>
      </c>
      <c r="AP42" s="93" t="s">
        <v>76</v>
      </c>
      <c r="AQ42" s="93" t="s">
        <v>79</v>
      </c>
      <c r="AR42" s="93" t="s">
        <v>76</v>
      </c>
      <c r="AS42" s="93" t="s">
        <v>77</v>
      </c>
      <c r="AT42" s="93" t="s">
        <v>79</v>
      </c>
      <c r="AU42" s="93" t="s">
        <v>78</v>
      </c>
      <c r="AV42" s="93" t="s">
        <v>79</v>
      </c>
      <c r="AW42" s="93" t="s">
        <v>78</v>
      </c>
      <c r="AX42" s="93">
        <f t="shared" ref="AX42:BL42" si="75">COLUMN(INDIRECT(AI42&amp;1))</f>
        <v>1</v>
      </c>
      <c r="AY42" s="93">
        <f t="shared" si="75"/>
        <v>4</v>
      </c>
      <c r="AZ42" s="93">
        <f t="shared" si="75"/>
        <v>4</v>
      </c>
      <c r="BA42" s="93">
        <f t="shared" si="75"/>
        <v>3</v>
      </c>
      <c r="BB42" s="93">
        <f t="shared" si="75"/>
        <v>1</v>
      </c>
      <c r="BC42" s="93">
        <f t="shared" si="75"/>
        <v>5</v>
      </c>
      <c r="BD42" s="93">
        <f t="shared" si="75"/>
        <v>1</v>
      </c>
      <c r="BE42" s="93">
        <f t="shared" si="75"/>
        <v>5</v>
      </c>
      <c r="BF42" s="93">
        <f t="shared" si="75"/>
        <v>2</v>
      </c>
      <c r="BG42" s="93">
        <f t="shared" si="75"/>
        <v>5</v>
      </c>
      <c r="BH42" s="93">
        <f t="shared" si="75"/>
        <v>1</v>
      </c>
      <c r="BI42" s="93">
        <f t="shared" si="75"/>
        <v>2</v>
      </c>
      <c r="BJ42" s="93">
        <f t="shared" si="75"/>
        <v>3</v>
      </c>
      <c r="BK42" s="93">
        <f t="shared" si="75"/>
        <v>2</v>
      </c>
      <c r="BL42" s="93">
        <f t="shared" si="75"/>
        <v>3</v>
      </c>
      <c r="BM42" s="95"/>
      <c r="BN42" s="95">
        <v>90.0</v>
      </c>
      <c r="BO42" s="30"/>
      <c r="BP42" s="30"/>
      <c r="BQ42" s="31"/>
      <c r="BR42" s="31"/>
      <c r="BS42" s="31"/>
      <c r="BT42" s="31"/>
      <c r="BU42" s="31"/>
      <c r="BV42" s="31"/>
      <c r="BW42" s="31"/>
      <c r="BX42" s="31"/>
      <c r="BY42" s="95"/>
      <c r="BZ42" s="95"/>
      <c r="CA42" s="95"/>
      <c r="CB42" s="95"/>
      <c r="CC42" s="32">
        <v>27.0</v>
      </c>
      <c r="CD42" s="33" t="s">
        <v>165</v>
      </c>
      <c r="CE42" s="32" t="s">
        <v>79</v>
      </c>
    </row>
    <row r="43">
      <c r="A43" s="84" t="s">
        <v>97</v>
      </c>
      <c r="B43" s="88">
        <v>2.0</v>
      </c>
      <c r="C43" s="88" t="s">
        <v>96</v>
      </c>
      <c r="D43" s="96">
        <v>15.0</v>
      </c>
      <c r="E43" s="96">
        <v>13.0</v>
      </c>
      <c r="F43" s="96">
        <v>22.0</v>
      </c>
      <c r="G43" s="96">
        <v>18.0</v>
      </c>
      <c r="H43" s="96">
        <v>19.0</v>
      </c>
      <c r="I43" s="96">
        <v>1.0</v>
      </c>
      <c r="J43" s="96">
        <v>9.0</v>
      </c>
      <c r="K43" s="96">
        <v>20.0</v>
      </c>
      <c r="L43" s="96">
        <v>11.0</v>
      </c>
      <c r="M43" s="96">
        <v>28.0</v>
      </c>
      <c r="N43" s="96">
        <v>27.0</v>
      </c>
      <c r="O43" s="96">
        <v>14.0</v>
      </c>
      <c r="P43" s="96">
        <v>12.0</v>
      </c>
      <c r="Q43" s="96">
        <v>5.0</v>
      </c>
      <c r="R43" s="96">
        <v>4.0</v>
      </c>
      <c r="S43" s="88">
        <v>15.0</v>
      </c>
      <c r="T43" s="88">
        <v>13.0</v>
      </c>
      <c r="U43" s="88">
        <v>22.0</v>
      </c>
      <c r="V43" s="88">
        <v>18.0</v>
      </c>
      <c r="W43" s="88">
        <v>19.0</v>
      </c>
      <c r="X43" s="88">
        <v>1.0</v>
      </c>
      <c r="Y43" s="88">
        <v>9.0</v>
      </c>
      <c r="Z43" s="88">
        <v>20.0</v>
      </c>
      <c r="AA43" s="88">
        <v>11.0</v>
      </c>
      <c r="AB43" s="88">
        <v>28.0</v>
      </c>
      <c r="AC43" s="88">
        <v>27.0</v>
      </c>
      <c r="AD43" s="88">
        <v>14.0</v>
      </c>
      <c r="AE43" s="88">
        <v>12.0</v>
      </c>
      <c r="AF43" s="88">
        <v>5.0</v>
      </c>
      <c r="AG43" s="88">
        <v>4.0</v>
      </c>
      <c r="AH43" s="97" t="s">
        <v>96</v>
      </c>
      <c r="AI43" s="96">
        <v>16.0</v>
      </c>
      <c r="AJ43" s="96">
        <v>29.0</v>
      </c>
      <c r="AK43" s="96">
        <v>24.0</v>
      </c>
      <c r="AL43" s="96">
        <v>3.0</v>
      </c>
      <c r="AM43" s="96">
        <v>21.0</v>
      </c>
      <c r="AN43" s="96">
        <v>10.0</v>
      </c>
      <c r="AO43" s="96">
        <v>26.0</v>
      </c>
      <c r="AP43" s="96">
        <v>30.0</v>
      </c>
      <c r="AQ43" s="96">
        <v>7.0</v>
      </c>
      <c r="AR43" s="96">
        <v>25.0</v>
      </c>
      <c r="AS43" s="96">
        <v>6.0</v>
      </c>
      <c r="AT43" s="96">
        <v>2.0</v>
      </c>
      <c r="AU43" s="96">
        <v>23.0</v>
      </c>
      <c r="AV43" s="96">
        <v>17.0</v>
      </c>
      <c r="AW43" s="96">
        <v>8.0</v>
      </c>
      <c r="AX43" s="88">
        <v>16.0</v>
      </c>
      <c r="AY43" s="88">
        <v>29.0</v>
      </c>
      <c r="AZ43" s="88">
        <v>24.0</v>
      </c>
      <c r="BA43" s="88">
        <v>3.0</v>
      </c>
      <c r="BB43" s="88">
        <v>21.0</v>
      </c>
      <c r="BC43" s="88">
        <v>10.0</v>
      </c>
      <c r="BD43" s="88">
        <v>26.0</v>
      </c>
      <c r="BE43" s="88">
        <v>30.0</v>
      </c>
      <c r="BF43" s="88">
        <v>7.0</v>
      </c>
      <c r="BG43" s="88">
        <v>25.0</v>
      </c>
      <c r="BH43" s="88">
        <v>6.0</v>
      </c>
      <c r="BI43" s="88">
        <v>2.0</v>
      </c>
      <c r="BJ43" s="88">
        <v>23.0</v>
      </c>
      <c r="BK43" s="88">
        <v>17.0</v>
      </c>
      <c r="BL43" s="88">
        <v>8.0</v>
      </c>
      <c r="BM43" s="88"/>
      <c r="BN43" s="88"/>
      <c r="BO43" s="30">
        <v>-2.0</v>
      </c>
      <c r="BP43" s="30">
        <v>2.0</v>
      </c>
      <c r="BQ43" s="89">
        <f>SUM(BX110+BX115+BX120)/3</f>
        <v>1.761111111</v>
      </c>
      <c r="BR43" s="89">
        <f t="shared" ref="BR43:BT43" si="76">SUM(BY120+BY115+BY110)/3</f>
        <v>1.677777778</v>
      </c>
      <c r="BS43" s="89">
        <f t="shared" si="76"/>
        <v>1.866666667</v>
      </c>
      <c r="BT43" s="89">
        <f t="shared" si="76"/>
        <v>1.657777778</v>
      </c>
      <c r="BU43" s="89" t="str">
        <f>SUM(#REF!+#REF!+#REF!)/3</f>
        <v>#REF!</v>
      </c>
      <c r="BV43" s="89">
        <f>SUM(CB120+CB115+CB110)/3</f>
        <v>0</v>
      </c>
      <c r="BW43" s="89">
        <v>4.0</v>
      </c>
      <c r="BX43" s="89">
        <f>SUM(AG14+AG34+Y56+BC76+AG96)/5</f>
        <v>4.75</v>
      </c>
      <c r="BY43" s="88">
        <f>SUM(AG15+AG41+Y57+BC77+AG97)/5</f>
        <v>4.766666667</v>
      </c>
      <c r="BZ43" s="88">
        <f>SUM(AG16+AG35+Y58+BD78+AH98)/5</f>
        <v>4.166666667</v>
      </c>
      <c r="CA43" s="88">
        <f>SUM(AG17+AG36+Y59+BD79+AH99)/5</f>
        <v>3.913333333</v>
      </c>
      <c r="CB43" s="92"/>
      <c r="CC43" s="32">
        <v>28.0</v>
      </c>
      <c r="CD43" s="33" t="s">
        <v>166</v>
      </c>
      <c r="CE43" s="32" t="s">
        <v>78</v>
      </c>
    </row>
    <row r="44">
      <c r="A44" s="40" t="s">
        <v>82</v>
      </c>
      <c r="B44" s="98">
        <v>3.0</v>
      </c>
      <c r="C44" s="98">
        <v>2.0</v>
      </c>
      <c r="D44" s="99" t="s">
        <v>76</v>
      </c>
      <c r="E44" s="99" t="s">
        <v>79</v>
      </c>
      <c r="F44" s="99" t="s">
        <v>75</v>
      </c>
      <c r="G44" s="99" t="s">
        <v>78</v>
      </c>
      <c r="H44" s="99" t="s">
        <v>79</v>
      </c>
      <c r="I44" s="99" t="s">
        <v>78</v>
      </c>
      <c r="J44" s="99" t="s">
        <v>76</v>
      </c>
      <c r="K44" s="99" t="s">
        <v>77</v>
      </c>
      <c r="L44" s="99" t="s">
        <v>75</v>
      </c>
      <c r="M44" s="99" t="s">
        <v>77</v>
      </c>
      <c r="N44" s="99" t="s">
        <v>79</v>
      </c>
      <c r="O44" s="99" t="s">
        <v>77</v>
      </c>
      <c r="P44" s="99" t="s">
        <v>78</v>
      </c>
      <c r="Q44" s="99" t="s">
        <v>77</v>
      </c>
      <c r="R44" s="99" t="s">
        <v>75</v>
      </c>
      <c r="S44" s="100">
        <f t="shared" ref="S44:AG44" si="77">COLUMN(INDIRECT(D44&amp;4))</f>
        <v>5</v>
      </c>
      <c r="T44" s="100">
        <f t="shared" si="77"/>
        <v>2</v>
      </c>
      <c r="U44" s="100">
        <f t="shared" si="77"/>
        <v>4</v>
      </c>
      <c r="V44" s="100">
        <f t="shared" si="77"/>
        <v>3</v>
      </c>
      <c r="W44" s="100">
        <f t="shared" si="77"/>
        <v>2</v>
      </c>
      <c r="X44" s="100">
        <f t="shared" si="77"/>
        <v>3</v>
      </c>
      <c r="Y44" s="100">
        <f t="shared" si="77"/>
        <v>5</v>
      </c>
      <c r="Z44" s="100">
        <f t="shared" si="77"/>
        <v>1</v>
      </c>
      <c r="AA44" s="100">
        <f t="shared" si="77"/>
        <v>4</v>
      </c>
      <c r="AB44" s="100">
        <f t="shared" si="77"/>
        <v>1</v>
      </c>
      <c r="AC44" s="100">
        <f t="shared" si="77"/>
        <v>2</v>
      </c>
      <c r="AD44" s="100">
        <f t="shared" si="77"/>
        <v>1</v>
      </c>
      <c r="AE44" s="100">
        <f t="shared" si="77"/>
        <v>3</v>
      </c>
      <c r="AF44" s="100">
        <f t="shared" si="77"/>
        <v>1</v>
      </c>
      <c r="AG44" s="100">
        <f t="shared" si="77"/>
        <v>4</v>
      </c>
      <c r="AH44" s="101">
        <v>1.0</v>
      </c>
      <c r="AI44" s="99" t="s">
        <v>75</v>
      </c>
      <c r="AJ44" s="99" t="s">
        <v>78</v>
      </c>
      <c r="AK44" s="99" t="s">
        <v>77</v>
      </c>
      <c r="AL44" s="99" t="s">
        <v>78</v>
      </c>
      <c r="AM44" s="99" t="s">
        <v>77</v>
      </c>
      <c r="AN44" s="99" t="s">
        <v>77</v>
      </c>
      <c r="AO44" s="99" t="s">
        <v>78</v>
      </c>
      <c r="AP44" s="99" t="s">
        <v>76</v>
      </c>
      <c r="AQ44" s="99" t="s">
        <v>75</v>
      </c>
      <c r="AR44" s="99" t="s">
        <v>77</v>
      </c>
      <c r="AS44" s="99" t="s">
        <v>75</v>
      </c>
      <c r="AT44" s="99" t="s">
        <v>79</v>
      </c>
      <c r="AU44" s="99" t="s">
        <v>79</v>
      </c>
      <c r="AV44" s="99" t="s">
        <v>79</v>
      </c>
      <c r="AW44" s="99" t="s">
        <v>77</v>
      </c>
      <c r="AX44" s="102">
        <f t="shared" ref="AX44:BL44" si="78">COLUMN(INDIRECT(AI44&amp;1))</f>
        <v>4</v>
      </c>
      <c r="AY44" s="102">
        <f t="shared" si="78"/>
        <v>3</v>
      </c>
      <c r="AZ44" s="102">
        <f t="shared" si="78"/>
        <v>1</v>
      </c>
      <c r="BA44" s="102">
        <f t="shared" si="78"/>
        <v>3</v>
      </c>
      <c r="BB44" s="102">
        <f t="shared" si="78"/>
        <v>1</v>
      </c>
      <c r="BC44" s="102">
        <f t="shared" si="78"/>
        <v>1</v>
      </c>
      <c r="BD44" s="102">
        <f t="shared" si="78"/>
        <v>3</v>
      </c>
      <c r="BE44" s="102">
        <f t="shared" si="78"/>
        <v>5</v>
      </c>
      <c r="BF44" s="102">
        <f t="shared" si="78"/>
        <v>4</v>
      </c>
      <c r="BG44" s="102">
        <f t="shared" si="78"/>
        <v>1</v>
      </c>
      <c r="BH44" s="102">
        <f t="shared" si="78"/>
        <v>4</v>
      </c>
      <c r="BI44" s="102">
        <f t="shared" si="78"/>
        <v>2</v>
      </c>
      <c r="BJ44" s="102">
        <f t="shared" si="78"/>
        <v>2</v>
      </c>
      <c r="BK44" s="102">
        <f t="shared" si="78"/>
        <v>2</v>
      </c>
      <c r="BL44" s="102">
        <f t="shared" si="78"/>
        <v>1</v>
      </c>
      <c r="BM44" s="102"/>
      <c r="BN44" s="102"/>
      <c r="BO44" s="36"/>
      <c r="BP44" s="36"/>
      <c r="BQ44" s="37"/>
      <c r="BR44" s="37"/>
      <c r="BS44" s="37"/>
      <c r="BT44" s="37"/>
      <c r="BU44" s="37"/>
      <c r="BV44" s="37"/>
      <c r="BW44" s="37"/>
      <c r="BX44" s="37"/>
      <c r="BY44" s="102"/>
      <c r="BZ44" s="102"/>
      <c r="CA44" s="102"/>
      <c r="CB44" s="102"/>
      <c r="CC44" s="32">
        <v>29.0</v>
      </c>
      <c r="CD44" s="33" t="s">
        <v>167</v>
      </c>
      <c r="CE44" s="32" t="s">
        <v>75</v>
      </c>
    </row>
    <row r="45">
      <c r="A45" s="40" t="s">
        <v>84</v>
      </c>
      <c r="B45" s="98">
        <v>3.0</v>
      </c>
      <c r="C45" s="98">
        <v>2.0</v>
      </c>
      <c r="D45" s="99" t="s">
        <v>76</v>
      </c>
      <c r="E45" s="99" t="s">
        <v>79</v>
      </c>
      <c r="F45" s="99" t="s">
        <v>75</v>
      </c>
      <c r="G45" s="99" t="s">
        <v>78</v>
      </c>
      <c r="H45" s="99" t="s">
        <v>78</v>
      </c>
      <c r="I45" s="99" t="s">
        <v>79</v>
      </c>
      <c r="J45" s="99" t="s">
        <v>76</v>
      </c>
      <c r="K45" s="99" t="s">
        <v>79</v>
      </c>
      <c r="L45" s="99" t="s">
        <v>75</v>
      </c>
      <c r="M45" s="99" t="s">
        <v>79</v>
      </c>
      <c r="N45" s="99" t="s">
        <v>77</v>
      </c>
      <c r="O45" s="99" t="s">
        <v>78</v>
      </c>
      <c r="P45" s="99" t="s">
        <v>75</v>
      </c>
      <c r="Q45" s="99" t="s">
        <v>78</v>
      </c>
      <c r="R45" s="99" t="s">
        <v>75</v>
      </c>
      <c r="S45" s="100">
        <f t="shared" ref="S45:AG45" si="79">COLUMN(INDIRECT(D45&amp;4))</f>
        <v>5</v>
      </c>
      <c r="T45" s="100">
        <f t="shared" si="79"/>
        <v>2</v>
      </c>
      <c r="U45" s="100">
        <f t="shared" si="79"/>
        <v>4</v>
      </c>
      <c r="V45" s="100">
        <f t="shared" si="79"/>
        <v>3</v>
      </c>
      <c r="W45" s="100">
        <f t="shared" si="79"/>
        <v>3</v>
      </c>
      <c r="X45" s="100">
        <f t="shared" si="79"/>
        <v>2</v>
      </c>
      <c r="Y45" s="100">
        <f t="shared" si="79"/>
        <v>5</v>
      </c>
      <c r="Z45" s="100">
        <f t="shared" si="79"/>
        <v>2</v>
      </c>
      <c r="AA45" s="100">
        <f t="shared" si="79"/>
        <v>4</v>
      </c>
      <c r="AB45" s="100">
        <f t="shared" si="79"/>
        <v>2</v>
      </c>
      <c r="AC45" s="100">
        <f t="shared" si="79"/>
        <v>1</v>
      </c>
      <c r="AD45" s="100">
        <f t="shared" si="79"/>
        <v>3</v>
      </c>
      <c r="AE45" s="100">
        <f t="shared" si="79"/>
        <v>4</v>
      </c>
      <c r="AF45" s="100">
        <f t="shared" si="79"/>
        <v>3</v>
      </c>
      <c r="AG45" s="100">
        <f t="shared" si="79"/>
        <v>4</v>
      </c>
      <c r="AH45" s="101">
        <v>1.0</v>
      </c>
      <c r="AI45" s="99" t="s">
        <v>75</v>
      </c>
      <c r="AJ45" s="99" t="s">
        <v>78</v>
      </c>
      <c r="AK45" s="99" t="s">
        <v>77</v>
      </c>
      <c r="AL45" s="99" t="s">
        <v>78</v>
      </c>
      <c r="AM45" s="99" t="s">
        <v>78</v>
      </c>
      <c r="AN45" s="99" t="s">
        <v>79</v>
      </c>
      <c r="AO45" s="99" t="s">
        <v>79</v>
      </c>
      <c r="AP45" s="99" t="s">
        <v>75</v>
      </c>
      <c r="AQ45" s="99" t="s">
        <v>78</v>
      </c>
      <c r="AR45" s="99" t="s">
        <v>77</v>
      </c>
      <c r="AS45" s="99" t="s">
        <v>76</v>
      </c>
      <c r="AT45" s="99" t="s">
        <v>77</v>
      </c>
      <c r="AU45" s="99" t="s">
        <v>79</v>
      </c>
      <c r="AV45" s="99" t="s">
        <v>77</v>
      </c>
      <c r="AW45" s="99" t="s">
        <v>79</v>
      </c>
      <c r="AX45" s="102">
        <f t="shared" ref="AX45:BL45" si="80">COLUMN(INDIRECT(AI45&amp;1))</f>
        <v>4</v>
      </c>
      <c r="AY45" s="102">
        <f t="shared" si="80"/>
        <v>3</v>
      </c>
      <c r="AZ45" s="102">
        <f t="shared" si="80"/>
        <v>1</v>
      </c>
      <c r="BA45" s="102">
        <f t="shared" si="80"/>
        <v>3</v>
      </c>
      <c r="BB45" s="102">
        <f t="shared" si="80"/>
        <v>3</v>
      </c>
      <c r="BC45" s="102">
        <f t="shared" si="80"/>
        <v>2</v>
      </c>
      <c r="BD45" s="102">
        <f t="shared" si="80"/>
        <v>2</v>
      </c>
      <c r="BE45" s="102">
        <f t="shared" si="80"/>
        <v>4</v>
      </c>
      <c r="BF45" s="102">
        <f t="shared" si="80"/>
        <v>3</v>
      </c>
      <c r="BG45" s="102">
        <f t="shared" si="80"/>
        <v>1</v>
      </c>
      <c r="BH45" s="102">
        <f t="shared" si="80"/>
        <v>5</v>
      </c>
      <c r="BI45" s="102">
        <f t="shared" si="80"/>
        <v>1</v>
      </c>
      <c r="BJ45" s="102">
        <f t="shared" si="80"/>
        <v>2</v>
      </c>
      <c r="BK45" s="102">
        <f t="shared" si="80"/>
        <v>1</v>
      </c>
      <c r="BL45" s="102">
        <f t="shared" si="80"/>
        <v>2</v>
      </c>
      <c r="BM45" s="102"/>
      <c r="BN45" s="102"/>
      <c r="BO45" s="36"/>
      <c r="BP45" s="36"/>
      <c r="BQ45" s="37"/>
      <c r="BR45" s="37"/>
      <c r="BS45" s="37"/>
      <c r="BT45" s="37"/>
      <c r="BU45" s="37"/>
      <c r="BV45" s="37"/>
      <c r="BW45" s="37"/>
      <c r="BX45" s="37"/>
      <c r="BY45" s="102"/>
      <c r="BZ45" s="102"/>
      <c r="CA45" s="102"/>
      <c r="CB45" s="102"/>
      <c r="CC45" s="32">
        <v>30.0</v>
      </c>
      <c r="CD45" s="33" t="s">
        <v>168</v>
      </c>
      <c r="CE45" s="32" t="s">
        <v>76</v>
      </c>
    </row>
    <row r="46">
      <c r="A46" s="40" t="s">
        <v>34</v>
      </c>
      <c r="B46" s="98">
        <v>3.0</v>
      </c>
      <c r="C46" s="98">
        <v>2.0</v>
      </c>
      <c r="D46" s="99" t="s">
        <v>75</v>
      </c>
      <c r="E46" s="99" t="s">
        <v>77</v>
      </c>
      <c r="F46" s="99" t="s">
        <v>76</v>
      </c>
      <c r="G46" s="99" t="s">
        <v>78</v>
      </c>
      <c r="H46" s="99" t="s">
        <v>78</v>
      </c>
      <c r="I46" s="99" t="s">
        <v>75</v>
      </c>
      <c r="J46" s="99" t="s">
        <v>76</v>
      </c>
      <c r="K46" s="99" t="s">
        <v>79</v>
      </c>
      <c r="L46" s="99" t="s">
        <v>75</v>
      </c>
      <c r="M46" s="99" t="s">
        <v>77</v>
      </c>
      <c r="N46" s="99" t="s">
        <v>77</v>
      </c>
      <c r="O46" s="99" t="s">
        <v>75</v>
      </c>
      <c r="P46" s="99" t="s">
        <v>78</v>
      </c>
      <c r="Q46" s="99" t="s">
        <v>79</v>
      </c>
      <c r="R46" s="99" t="s">
        <v>76</v>
      </c>
      <c r="S46" s="100">
        <f t="shared" ref="S46:AG46" si="81">COLUMN(INDIRECT(D46&amp;4))</f>
        <v>4</v>
      </c>
      <c r="T46" s="100">
        <f t="shared" si="81"/>
        <v>1</v>
      </c>
      <c r="U46" s="100">
        <f t="shared" si="81"/>
        <v>5</v>
      </c>
      <c r="V46" s="100">
        <f t="shared" si="81"/>
        <v>3</v>
      </c>
      <c r="W46" s="100">
        <f t="shared" si="81"/>
        <v>3</v>
      </c>
      <c r="X46" s="100">
        <f t="shared" si="81"/>
        <v>4</v>
      </c>
      <c r="Y46" s="100">
        <f t="shared" si="81"/>
        <v>5</v>
      </c>
      <c r="Z46" s="100">
        <f t="shared" si="81"/>
        <v>2</v>
      </c>
      <c r="AA46" s="100">
        <f t="shared" si="81"/>
        <v>4</v>
      </c>
      <c r="AB46" s="100">
        <f t="shared" si="81"/>
        <v>1</v>
      </c>
      <c r="AC46" s="100">
        <f t="shared" si="81"/>
        <v>1</v>
      </c>
      <c r="AD46" s="100">
        <f t="shared" si="81"/>
        <v>4</v>
      </c>
      <c r="AE46" s="100">
        <f t="shared" si="81"/>
        <v>3</v>
      </c>
      <c r="AF46" s="100">
        <f t="shared" si="81"/>
        <v>2</v>
      </c>
      <c r="AG46" s="100">
        <f t="shared" si="81"/>
        <v>5</v>
      </c>
      <c r="AH46" s="101">
        <v>1.0</v>
      </c>
      <c r="AI46" s="99" t="s">
        <v>76</v>
      </c>
      <c r="AJ46" s="99" t="s">
        <v>78</v>
      </c>
      <c r="AK46" s="99" t="s">
        <v>77</v>
      </c>
      <c r="AL46" s="99" t="s">
        <v>75</v>
      </c>
      <c r="AM46" s="99" t="s">
        <v>77</v>
      </c>
      <c r="AN46" s="99" t="s">
        <v>78</v>
      </c>
      <c r="AO46" s="99" t="s">
        <v>79</v>
      </c>
      <c r="AP46" s="99" t="s">
        <v>76</v>
      </c>
      <c r="AQ46" s="99" t="s">
        <v>79</v>
      </c>
      <c r="AR46" s="99" t="s">
        <v>78</v>
      </c>
      <c r="AS46" s="99" t="s">
        <v>75</v>
      </c>
      <c r="AT46" s="99" t="s">
        <v>77</v>
      </c>
      <c r="AU46" s="99" t="s">
        <v>79</v>
      </c>
      <c r="AV46" s="99" t="s">
        <v>77</v>
      </c>
      <c r="AW46" s="99" t="s">
        <v>75</v>
      </c>
      <c r="AX46" s="102">
        <f t="shared" ref="AX46:BL46" si="82">COLUMN(INDIRECT(AI46&amp;1))</f>
        <v>5</v>
      </c>
      <c r="AY46" s="102">
        <f t="shared" si="82"/>
        <v>3</v>
      </c>
      <c r="AZ46" s="102">
        <f t="shared" si="82"/>
        <v>1</v>
      </c>
      <c r="BA46" s="102">
        <f t="shared" si="82"/>
        <v>4</v>
      </c>
      <c r="BB46" s="102">
        <f t="shared" si="82"/>
        <v>1</v>
      </c>
      <c r="BC46" s="102">
        <f t="shared" si="82"/>
        <v>3</v>
      </c>
      <c r="BD46" s="102">
        <f t="shared" si="82"/>
        <v>2</v>
      </c>
      <c r="BE46" s="102">
        <f t="shared" si="82"/>
        <v>5</v>
      </c>
      <c r="BF46" s="102">
        <f t="shared" si="82"/>
        <v>2</v>
      </c>
      <c r="BG46" s="102">
        <f t="shared" si="82"/>
        <v>3</v>
      </c>
      <c r="BH46" s="102">
        <f t="shared" si="82"/>
        <v>4</v>
      </c>
      <c r="BI46" s="102">
        <f t="shared" si="82"/>
        <v>1</v>
      </c>
      <c r="BJ46" s="102">
        <f t="shared" si="82"/>
        <v>2</v>
      </c>
      <c r="BK46" s="102">
        <f t="shared" si="82"/>
        <v>1</v>
      </c>
      <c r="BL46" s="102">
        <f t="shared" si="82"/>
        <v>4</v>
      </c>
      <c r="BM46" s="102"/>
      <c r="BN46" s="102"/>
      <c r="BO46" s="36"/>
      <c r="BP46" s="36"/>
      <c r="BQ46" s="37"/>
      <c r="BR46" s="37"/>
      <c r="BS46" s="37"/>
      <c r="BT46" s="37"/>
      <c r="BU46" s="37"/>
      <c r="BV46" s="37"/>
      <c r="BW46" s="37"/>
      <c r="BX46" s="37"/>
      <c r="BY46" s="102"/>
      <c r="BZ46" s="102"/>
      <c r="CA46" s="102"/>
      <c r="CB46" s="102"/>
      <c r="CC46" s="102"/>
      <c r="CD46" s="102"/>
      <c r="CE46" s="102"/>
    </row>
    <row r="47">
      <c r="A47" s="40" t="s">
        <v>35</v>
      </c>
      <c r="B47" s="98">
        <v>3.0</v>
      </c>
      <c r="C47" s="98">
        <v>2.0</v>
      </c>
      <c r="D47" s="99" t="s">
        <v>75</v>
      </c>
      <c r="E47" s="99" t="s">
        <v>79</v>
      </c>
      <c r="F47" s="99" t="s">
        <v>78</v>
      </c>
      <c r="G47" s="99" t="s">
        <v>75</v>
      </c>
      <c r="H47" s="99" t="s">
        <v>76</v>
      </c>
      <c r="I47" s="99" t="s">
        <v>78</v>
      </c>
      <c r="J47" s="99" t="s">
        <v>75</v>
      </c>
      <c r="K47" s="99" t="s">
        <v>79</v>
      </c>
      <c r="L47" s="99" t="s">
        <v>75</v>
      </c>
      <c r="M47" s="99" t="s">
        <v>79</v>
      </c>
      <c r="N47" s="99" t="s">
        <v>79</v>
      </c>
      <c r="O47" s="99" t="s">
        <v>76</v>
      </c>
      <c r="P47" s="99" t="s">
        <v>79</v>
      </c>
      <c r="Q47" s="99" t="s">
        <v>77</v>
      </c>
      <c r="R47" s="99" t="s">
        <v>79</v>
      </c>
      <c r="S47" s="100">
        <f t="shared" ref="S47:AG47" si="83">COLUMN(INDIRECT(D47&amp;4))</f>
        <v>4</v>
      </c>
      <c r="T47" s="100">
        <f t="shared" si="83"/>
        <v>2</v>
      </c>
      <c r="U47" s="100">
        <f t="shared" si="83"/>
        <v>3</v>
      </c>
      <c r="V47" s="100">
        <f t="shared" si="83"/>
        <v>4</v>
      </c>
      <c r="W47" s="100">
        <f t="shared" si="83"/>
        <v>5</v>
      </c>
      <c r="X47" s="100">
        <f t="shared" si="83"/>
        <v>3</v>
      </c>
      <c r="Y47" s="100">
        <f t="shared" si="83"/>
        <v>4</v>
      </c>
      <c r="Z47" s="100">
        <f t="shared" si="83"/>
        <v>2</v>
      </c>
      <c r="AA47" s="100">
        <f t="shared" si="83"/>
        <v>4</v>
      </c>
      <c r="AB47" s="100">
        <f t="shared" si="83"/>
        <v>2</v>
      </c>
      <c r="AC47" s="100">
        <f t="shared" si="83"/>
        <v>2</v>
      </c>
      <c r="AD47" s="100">
        <f t="shared" si="83"/>
        <v>5</v>
      </c>
      <c r="AE47" s="100">
        <f t="shared" si="83"/>
        <v>2</v>
      </c>
      <c r="AF47" s="100">
        <f t="shared" si="83"/>
        <v>1</v>
      </c>
      <c r="AG47" s="100">
        <f t="shared" si="83"/>
        <v>2</v>
      </c>
      <c r="AH47" s="101">
        <v>1.0</v>
      </c>
      <c r="AI47" s="99" t="s">
        <v>75</v>
      </c>
      <c r="AJ47" s="99" t="s">
        <v>79</v>
      </c>
      <c r="AK47" s="99" t="s">
        <v>77</v>
      </c>
      <c r="AL47" s="99" t="s">
        <v>76</v>
      </c>
      <c r="AM47" s="99" t="s">
        <v>79</v>
      </c>
      <c r="AN47" s="99" t="s">
        <v>78</v>
      </c>
      <c r="AO47" s="99" t="s">
        <v>75</v>
      </c>
      <c r="AP47" s="99" t="s">
        <v>76</v>
      </c>
      <c r="AQ47" s="99" t="s">
        <v>78</v>
      </c>
      <c r="AR47" s="99" t="s">
        <v>77</v>
      </c>
      <c r="AS47" s="99" t="s">
        <v>76</v>
      </c>
      <c r="AT47" s="99" t="s">
        <v>79</v>
      </c>
      <c r="AU47" s="99" t="s">
        <v>77</v>
      </c>
      <c r="AV47" s="99" t="s">
        <v>75</v>
      </c>
      <c r="AW47" s="99" t="s">
        <v>79</v>
      </c>
      <c r="AX47" s="102">
        <f t="shared" ref="AX47:BL47" si="84">COLUMN(INDIRECT(AI47&amp;1))</f>
        <v>4</v>
      </c>
      <c r="AY47" s="102">
        <f t="shared" si="84"/>
        <v>2</v>
      </c>
      <c r="AZ47" s="102">
        <f t="shared" si="84"/>
        <v>1</v>
      </c>
      <c r="BA47" s="102">
        <f t="shared" si="84"/>
        <v>5</v>
      </c>
      <c r="BB47" s="102">
        <f t="shared" si="84"/>
        <v>2</v>
      </c>
      <c r="BC47" s="102">
        <f t="shared" si="84"/>
        <v>3</v>
      </c>
      <c r="BD47" s="102">
        <f t="shared" si="84"/>
        <v>4</v>
      </c>
      <c r="BE47" s="102">
        <f t="shared" si="84"/>
        <v>5</v>
      </c>
      <c r="BF47" s="102">
        <f t="shared" si="84"/>
        <v>3</v>
      </c>
      <c r="BG47" s="102">
        <f t="shared" si="84"/>
        <v>1</v>
      </c>
      <c r="BH47" s="102">
        <f t="shared" si="84"/>
        <v>5</v>
      </c>
      <c r="BI47" s="102">
        <f t="shared" si="84"/>
        <v>2</v>
      </c>
      <c r="BJ47" s="102">
        <f t="shared" si="84"/>
        <v>1</v>
      </c>
      <c r="BK47" s="102">
        <f t="shared" si="84"/>
        <v>4</v>
      </c>
      <c r="BL47" s="102">
        <f t="shared" si="84"/>
        <v>2</v>
      </c>
      <c r="BM47" s="102"/>
      <c r="BN47" s="102"/>
      <c r="BO47" s="36"/>
      <c r="BP47" s="36"/>
      <c r="BQ47" s="37"/>
      <c r="BR47" s="37"/>
      <c r="BS47" s="37"/>
      <c r="BT47" s="37"/>
      <c r="BU47" s="37"/>
      <c r="BV47" s="37"/>
      <c r="BW47" s="37"/>
      <c r="BX47" s="37"/>
      <c r="BY47" s="102"/>
      <c r="BZ47" s="102"/>
      <c r="CA47" s="102"/>
      <c r="CB47" s="102"/>
      <c r="CC47" s="102"/>
      <c r="CD47" s="102"/>
      <c r="CE47" s="102"/>
    </row>
    <row r="48">
      <c r="A48" s="40" t="s">
        <v>36</v>
      </c>
      <c r="B48" s="98">
        <v>3.0</v>
      </c>
      <c r="C48" s="98">
        <v>2.0</v>
      </c>
      <c r="D48" s="99" t="s">
        <v>76</v>
      </c>
      <c r="E48" s="99" t="s">
        <v>79</v>
      </c>
      <c r="F48" s="99" t="s">
        <v>75</v>
      </c>
      <c r="G48" s="99" t="s">
        <v>78</v>
      </c>
      <c r="H48" s="99" t="s">
        <v>77</v>
      </c>
      <c r="I48" s="99" t="s">
        <v>78</v>
      </c>
      <c r="J48" s="99" t="s">
        <v>76</v>
      </c>
      <c r="K48" s="99" t="s">
        <v>77</v>
      </c>
      <c r="L48" s="99" t="s">
        <v>75</v>
      </c>
      <c r="M48" s="99" t="s">
        <v>77</v>
      </c>
      <c r="N48" s="99" t="s">
        <v>78</v>
      </c>
      <c r="O48" s="99" t="s">
        <v>79</v>
      </c>
      <c r="P48" s="99" t="s">
        <v>75</v>
      </c>
      <c r="Q48" s="99" t="s">
        <v>77</v>
      </c>
      <c r="R48" s="99" t="s">
        <v>78</v>
      </c>
      <c r="S48" s="100">
        <f t="shared" ref="S48:AG48" si="85">COLUMN(INDIRECT(D48&amp;4))</f>
        <v>5</v>
      </c>
      <c r="T48" s="100">
        <f t="shared" si="85"/>
        <v>2</v>
      </c>
      <c r="U48" s="100">
        <f t="shared" si="85"/>
        <v>4</v>
      </c>
      <c r="V48" s="100">
        <f t="shared" si="85"/>
        <v>3</v>
      </c>
      <c r="W48" s="100">
        <f t="shared" si="85"/>
        <v>1</v>
      </c>
      <c r="X48" s="100">
        <f t="shared" si="85"/>
        <v>3</v>
      </c>
      <c r="Y48" s="100">
        <f t="shared" si="85"/>
        <v>5</v>
      </c>
      <c r="Z48" s="100">
        <f t="shared" si="85"/>
        <v>1</v>
      </c>
      <c r="AA48" s="100">
        <f t="shared" si="85"/>
        <v>4</v>
      </c>
      <c r="AB48" s="100">
        <f t="shared" si="85"/>
        <v>1</v>
      </c>
      <c r="AC48" s="100">
        <f t="shared" si="85"/>
        <v>3</v>
      </c>
      <c r="AD48" s="100">
        <f t="shared" si="85"/>
        <v>2</v>
      </c>
      <c r="AE48" s="100">
        <f t="shared" si="85"/>
        <v>4</v>
      </c>
      <c r="AF48" s="100">
        <f t="shared" si="85"/>
        <v>1</v>
      </c>
      <c r="AG48" s="100">
        <f t="shared" si="85"/>
        <v>3</v>
      </c>
      <c r="AH48" s="101">
        <v>1.0</v>
      </c>
      <c r="AI48" s="99" t="s">
        <v>75</v>
      </c>
      <c r="AJ48" s="99" t="s">
        <v>77</v>
      </c>
      <c r="AK48" s="99" t="s">
        <v>79</v>
      </c>
      <c r="AL48" s="99" t="s">
        <v>77</v>
      </c>
      <c r="AM48" s="99" t="s">
        <v>77</v>
      </c>
      <c r="AN48" s="99" t="s">
        <v>76</v>
      </c>
      <c r="AO48" s="99" t="s">
        <v>78</v>
      </c>
      <c r="AP48" s="99" t="s">
        <v>76</v>
      </c>
      <c r="AQ48" s="99" t="s">
        <v>75</v>
      </c>
      <c r="AR48" s="99" t="s">
        <v>79</v>
      </c>
      <c r="AS48" s="99" t="s">
        <v>76</v>
      </c>
      <c r="AT48" s="99" t="s">
        <v>79</v>
      </c>
      <c r="AU48" s="99" t="s">
        <v>77</v>
      </c>
      <c r="AV48" s="99" t="s">
        <v>77</v>
      </c>
      <c r="AW48" s="99" t="s">
        <v>79</v>
      </c>
      <c r="AX48" s="102">
        <f t="shared" ref="AX48:BL48" si="86">COLUMN(INDIRECT(AI48&amp;1))</f>
        <v>4</v>
      </c>
      <c r="AY48" s="102">
        <f t="shared" si="86"/>
        <v>1</v>
      </c>
      <c r="AZ48" s="102">
        <f t="shared" si="86"/>
        <v>2</v>
      </c>
      <c r="BA48" s="102">
        <f t="shared" si="86"/>
        <v>1</v>
      </c>
      <c r="BB48" s="102">
        <f t="shared" si="86"/>
        <v>1</v>
      </c>
      <c r="BC48" s="102">
        <f t="shared" si="86"/>
        <v>5</v>
      </c>
      <c r="BD48" s="102">
        <f t="shared" si="86"/>
        <v>3</v>
      </c>
      <c r="BE48" s="102">
        <f t="shared" si="86"/>
        <v>5</v>
      </c>
      <c r="BF48" s="102">
        <f t="shared" si="86"/>
        <v>4</v>
      </c>
      <c r="BG48" s="102">
        <f t="shared" si="86"/>
        <v>2</v>
      </c>
      <c r="BH48" s="102">
        <f t="shared" si="86"/>
        <v>5</v>
      </c>
      <c r="BI48" s="102">
        <f t="shared" si="86"/>
        <v>2</v>
      </c>
      <c r="BJ48" s="102">
        <f t="shared" si="86"/>
        <v>1</v>
      </c>
      <c r="BK48" s="102">
        <f t="shared" si="86"/>
        <v>1</v>
      </c>
      <c r="BL48" s="102">
        <f t="shared" si="86"/>
        <v>2</v>
      </c>
      <c r="BM48" s="102"/>
      <c r="BN48" s="102"/>
      <c r="BO48" s="36"/>
      <c r="BP48" s="36"/>
      <c r="BQ48" s="37"/>
      <c r="BR48" s="37"/>
      <c r="BS48" s="37"/>
      <c r="BT48" s="37"/>
      <c r="BU48" s="37"/>
      <c r="BV48" s="37"/>
      <c r="BW48" s="37"/>
      <c r="BX48" s="37"/>
      <c r="BY48" s="102"/>
      <c r="BZ48" s="102"/>
      <c r="CA48" s="102"/>
      <c r="CB48" s="102"/>
      <c r="CC48" s="102"/>
      <c r="CD48" s="102"/>
      <c r="CE48" s="102"/>
    </row>
    <row r="49">
      <c r="A49" s="40" t="s">
        <v>37</v>
      </c>
      <c r="B49" s="98">
        <v>3.0</v>
      </c>
      <c r="C49" s="98">
        <v>2.0</v>
      </c>
      <c r="D49" s="99" t="s">
        <v>76</v>
      </c>
      <c r="E49" s="99" t="s">
        <v>79</v>
      </c>
      <c r="F49" s="99" t="s">
        <v>75</v>
      </c>
      <c r="G49" s="99" t="s">
        <v>76</v>
      </c>
      <c r="H49" s="99" t="s">
        <v>77</v>
      </c>
      <c r="I49" s="99" t="s">
        <v>75</v>
      </c>
      <c r="J49" s="99" t="s">
        <v>76</v>
      </c>
      <c r="K49" s="99" t="s">
        <v>78</v>
      </c>
      <c r="L49" s="99" t="s">
        <v>76</v>
      </c>
      <c r="M49" s="99" t="s">
        <v>75</v>
      </c>
      <c r="N49" s="99" t="s">
        <v>78</v>
      </c>
      <c r="O49" s="99" t="s">
        <v>75</v>
      </c>
      <c r="P49" s="99" t="s">
        <v>76</v>
      </c>
      <c r="Q49" s="99" t="s">
        <v>75</v>
      </c>
      <c r="R49" s="99" t="s">
        <v>79</v>
      </c>
      <c r="S49" s="100">
        <f t="shared" ref="S49:AG49" si="87">COLUMN(INDIRECT(D49&amp;4))</f>
        <v>5</v>
      </c>
      <c r="T49" s="100">
        <f t="shared" si="87"/>
        <v>2</v>
      </c>
      <c r="U49" s="100">
        <f t="shared" si="87"/>
        <v>4</v>
      </c>
      <c r="V49" s="100">
        <f t="shared" si="87"/>
        <v>5</v>
      </c>
      <c r="W49" s="100">
        <f t="shared" si="87"/>
        <v>1</v>
      </c>
      <c r="X49" s="100">
        <f t="shared" si="87"/>
        <v>4</v>
      </c>
      <c r="Y49" s="100">
        <f t="shared" si="87"/>
        <v>5</v>
      </c>
      <c r="Z49" s="100">
        <f t="shared" si="87"/>
        <v>3</v>
      </c>
      <c r="AA49" s="100">
        <f t="shared" si="87"/>
        <v>5</v>
      </c>
      <c r="AB49" s="100">
        <f t="shared" si="87"/>
        <v>4</v>
      </c>
      <c r="AC49" s="100">
        <f t="shared" si="87"/>
        <v>3</v>
      </c>
      <c r="AD49" s="100">
        <f t="shared" si="87"/>
        <v>4</v>
      </c>
      <c r="AE49" s="100">
        <f t="shared" si="87"/>
        <v>5</v>
      </c>
      <c r="AF49" s="100">
        <f t="shared" si="87"/>
        <v>4</v>
      </c>
      <c r="AG49" s="100">
        <f t="shared" si="87"/>
        <v>2</v>
      </c>
      <c r="AH49" s="101">
        <v>1.0</v>
      </c>
      <c r="AI49" s="99" t="s">
        <v>76</v>
      </c>
      <c r="AJ49" s="99" t="s">
        <v>77</v>
      </c>
      <c r="AK49" s="99" t="s">
        <v>78</v>
      </c>
      <c r="AL49" s="99" t="s">
        <v>75</v>
      </c>
      <c r="AM49" s="99" t="s">
        <v>75</v>
      </c>
      <c r="AN49" s="99" t="s">
        <v>77</v>
      </c>
      <c r="AO49" s="99" t="s">
        <v>75</v>
      </c>
      <c r="AP49" s="99" t="s">
        <v>76</v>
      </c>
      <c r="AQ49" s="99" t="s">
        <v>78</v>
      </c>
      <c r="AR49" s="99" t="s">
        <v>76</v>
      </c>
      <c r="AS49" s="99" t="s">
        <v>76</v>
      </c>
      <c r="AT49" s="99" t="s">
        <v>78</v>
      </c>
      <c r="AU49" s="99" t="s">
        <v>79</v>
      </c>
      <c r="AV49" s="99" t="s">
        <v>78</v>
      </c>
      <c r="AW49" s="99" t="s">
        <v>75</v>
      </c>
      <c r="AX49" s="102">
        <f t="shared" ref="AX49:BL49" si="88">COLUMN(INDIRECT(AI49&amp;1))</f>
        <v>5</v>
      </c>
      <c r="AY49" s="102">
        <f t="shared" si="88"/>
        <v>1</v>
      </c>
      <c r="AZ49" s="102">
        <f t="shared" si="88"/>
        <v>3</v>
      </c>
      <c r="BA49" s="102">
        <f t="shared" si="88"/>
        <v>4</v>
      </c>
      <c r="BB49" s="102">
        <f t="shared" si="88"/>
        <v>4</v>
      </c>
      <c r="BC49" s="102">
        <f t="shared" si="88"/>
        <v>1</v>
      </c>
      <c r="BD49" s="102">
        <f t="shared" si="88"/>
        <v>4</v>
      </c>
      <c r="BE49" s="102">
        <f t="shared" si="88"/>
        <v>5</v>
      </c>
      <c r="BF49" s="102">
        <f t="shared" si="88"/>
        <v>3</v>
      </c>
      <c r="BG49" s="102">
        <f t="shared" si="88"/>
        <v>5</v>
      </c>
      <c r="BH49" s="102">
        <f t="shared" si="88"/>
        <v>5</v>
      </c>
      <c r="BI49" s="102">
        <f t="shared" si="88"/>
        <v>3</v>
      </c>
      <c r="BJ49" s="102">
        <f t="shared" si="88"/>
        <v>2</v>
      </c>
      <c r="BK49" s="102">
        <f t="shared" si="88"/>
        <v>3</v>
      </c>
      <c r="BL49" s="102">
        <f t="shared" si="88"/>
        <v>4</v>
      </c>
      <c r="BM49" s="102"/>
      <c r="BN49" s="102"/>
      <c r="BO49" s="36"/>
      <c r="BP49" s="36"/>
      <c r="BQ49" s="37"/>
      <c r="BR49" s="37"/>
      <c r="BS49" s="37"/>
      <c r="BT49" s="37"/>
      <c r="BU49" s="37"/>
      <c r="BV49" s="37"/>
      <c r="BW49" s="37"/>
      <c r="BX49" s="37"/>
      <c r="BY49" s="102"/>
      <c r="BZ49" s="102"/>
      <c r="CA49" s="102"/>
      <c r="CB49" s="102"/>
      <c r="CC49" s="102"/>
      <c r="CD49" s="102"/>
      <c r="CE49" s="102"/>
    </row>
    <row r="50">
      <c r="A50" s="40" t="s">
        <v>38</v>
      </c>
      <c r="B50" s="98">
        <v>3.0</v>
      </c>
      <c r="C50" s="98">
        <v>1.0</v>
      </c>
      <c r="D50" s="99" t="s">
        <v>75</v>
      </c>
      <c r="E50" s="99" t="s">
        <v>77</v>
      </c>
      <c r="F50" s="99" t="s">
        <v>77</v>
      </c>
      <c r="G50" s="99" t="s">
        <v>75</v>
      </c>
      <c r="H50" s="99" t="s">
        <v>77</v>
      </c>
      <c r="I50" s="99" t="s">
        <v>77</v>
      </c>
      <c r="J50" s="99" t="s">
        <v>76</v>
      </c>
      <c r="K50" s="99" t="s">
        <v>79</v>
      </c>
      <c r="L50" s="99" t="s">
        <v>76</v>
      </c>
      <c r="M50" s="99" t="s">
        <v>77</v>
      </c>
      <c r="N50" s="99" t="s">
        <v>77</v>
      </c>
      <c r="O50" s="99" t="s">
        <v>77</v>
      </c>
      <c r="P50" s="99" t="s">
        <v>76</v>
      </c>
      <c r="Q50" s="99" t="s">
        <v>79</v>
      </c>
      <c r="R50" s="99" t="s">
        <v>76</v>
      </c>
      <c r="S50" s="100">
        <f t="shared" ref="S50:AG50" si="89">COLUMN(INDIRECT(D50&amp;4))</f>
        <v>4</v>
      </c>
      <c r="T50" s="100">
        <f t="shared" si="89"/>
        <v>1</v>
      </c>
      <c r="U50" s="100">
        <f t="shared" si="89"/>
        <v>1</v>
      </c>
      <c r="V50" s="100">
        <f t="shared" si="89"/>
        <v>4</v>
      </c>
      <c r="W50" s="100">
        <f t="shared" si="89"/>
        <v>1</v>
      </c>
      <c r="X50" s="100">
        <f t="shared" si="89"/>
        <v>1</v>
      </c>
      <c r="Y50" s="100">
        <f t="shared" si="89"/>
        <v>5</v>
      </c>
      <c r="Z50" s="100">
        <f t="shared" si="89"/>
        <v>2</v>
      </c>
      <c r="AA50" s="100">
        <f t="shared" si="89"/>
        <v>5</v>
      </c>
      <c r="AB50" s="100">
        <f t="shared" si="89"/>
        <v>1</v>
      </c>
      <c r="AC50" s="100">
        <f t="shared" si="89"/>
        <v>1</v>
      </c>
      <c r="AD50" s="100">
        <f t="shared" si="89"/>
        <v>1</v>
      </c>
      <c r="AE50" s="100">
        <f t="shared" si="89"/>
        <v>5</v>
      </c>
      <c r="AF50" s="100">
        <f t="shared" si="89"/>
        <v>2</v>
      </c>
      <c r="AG50" s="100">
        <f t="shared" si="89"/>
        <v>5</v>
      </c>
      <c r="AH50" s="101">
        <v>2.0</v>
      </c>
      <c r="AI50" s="99" t="s">
        <v>76</v>
      </c>
      <c r="AJ50" s="99" t="s">
        <v>77</v>
      </c>
      <c r="AK50" s="99" t="s">
        <v>79</v>
      </c>
      <c r="AL50" s="99" t="s">
        <v>76</v>
      </c>
      <c r="AM50" s="99" t="s">
        <v>78</v>
      </c>
      <c r="AN50" s="99" t="s">
        <v>79</v>
      </c>
      <c r="AO50" s="99" t="s">
        <v>78</v>
      </c>
      <c r="AP50" s="99" t="s">
        <v>76</v>
      </c>
      <c r="AQ50" s="99" t="s">
        <v>76</v>
      </c>
      <c r="AR50" s="99" t="s">
        <v>79</v>
      </c>
      <c r="AS50" s="99" t="s">
        <v>76</v>
      </c>
      <c r="AT50" s="99" t="s">
        <v>79</v>
      </c>
      <c r="AU50" s="99" t="s">
        <v>77</v>
      </c>
      <c r="AV50" s="99" t="s">
        <v>79</v>
      </c>
      <c r="AW50" s="99" t="s">
        <v>77</v>
      </c>
      <c r="AX50" s="102">
        <f t="shared" ref="AX50:BL50" si="90">COLUMN(INDIRECT(AI50&amp;1))</f>
        <v>5</v>
      </c>
      <c r="AY50" s="102">
        <f t="shared" si="90"/>
        <v>1</v>
      </c>
      <c r="AZ50" s="102">
        <f t="shared" si="90"/>
        <v>2</v>
      </c>
      <c r="BA50" s="102">
        <f t="shared" si="90"/>
        <v>5</v>
      </c>
      <c r="BB50" s="102">
        <f t="shared" si="90"/>
        <v>3</v>
      </c>
      <c r="BC50" s="102">
        <f t="shared" si="90"/>
        <v>2</v>
      </c>
      <c r="BD50" s="102">
        <f t="shared" si="90"/>
        <v>3</v>
      </c>
      <c r="BE50" s="102">
        <f t="shared" si="90"/>
        <v>5</v>
      </c>
      <c r="BF50" s="102">
        <f t="shared" si="90"/>
        <v>5</v>
      </c>
      <c r="BG50" s="102">
        <f t="shared" si="90"/>
        <v>2</v>
      </c>
      <c r="BH50" s="102">
        <f t="shared" si="90"/>
        <v>5</v>
      </c>
      <c r="BI50" s="102">
        <f t="shared" si="90"/>
        <v>2</v>
      </c>
      <c r="BJ50" s="102">
        <f t="shared" si="90"/>
        <v>1</v>
      </c>
      <c r="BK50" s="102">
        <f t="shared" si="90"/>
        <v>2</v>
      </c>
      <c r="BL50" s="102">
        <f t="shared" si="90"/>
        <v>1</v>
      </c>
      <c r="BM50" s="102"/>
      <c r="BN50" s="102"/>
      <c r="BO50" s="36"/>
      <c r="BP50" s="36"/>
      <c r="BQ50" s="37"/>
      <c r="BR50" s="37"/>
      <c r="BS50" s="37"/>
      <c r="BT50" s="37"/>
      <c r="BU50" s="37"/>
      <c r="BV50" s="37"/>
      <c r="BW50" s="37"/>
      <c r="BX50" s="37"/>
      <c r="BY50" s="102"/>
      <c r="BZ50" s="102"/>
      <c r="CA50" s="102"/>
      <c r="CB50" s="102"/>
      <c r="CC50" s="102"/>
      <c r="CD50" s="102"/>
      <c r="CE50" s="102"/>
    </row>
    <row r="51">
      <c r="A51" s="40" t="s">
        <v>98</v>
      </c>
      <c r="B51" s="98">
        <v>3.0</v>
      </c>
      <c r="C51" s="98">
        <v>1.0</v>
      </c>
      <c r="D51" s="99" t="s">
        <v>77</v>
      </c>
      <c r="E51" s="99" t="s">
        <v>77</v>
      </c>
      <c r="F51" s="99" t="s">
        <v>79</v>
      </c>
      <c r="G51" s="99" t="s">
        <v>79</v>
      </c>
      <c r="H51" s="99" t="s">
        <v>79</v>
      </c>
      <c r="I51" s="99" t="s">
        <v>78</v>
      </c>
      <c r="J51" s="99" t="s">
        <v>75</v>
      </c>
      <c r="K51" s="99" t="s">
        <v>79</v>
      </c>
      <c r="L51" s="99" t="s">
        <v>79</v>
      </c>
      <c r="M51" s="99" t="s">
        <v>77</v>
      </c>
      <c r="N51" s="99" t="s">
        <v>77</v>
      </c>
      <c r="O51" s="99" t="s">
        <v>77</v>
      </c>
      <c r="P51" s="99" t="s">
        <v>79</v>
      </c>
      <c r="Q51" s="99" t="s">
        <v>78</v>
      </c>
      <c r="R51" s="99" t="s">
        <v>79</v>
      </c>
      <c r="S51" s="100">
        <f t="shared" ref="S51:AG51" si="91">COLUMN(INDIRECT(D51&amp;4))</f>
        <v>1</v>
      </c>
      <c r="T51" s="100">
        <f t="shared" si="91"/>
        <v>1</v>
      </c>
      <c r="U51" s="100">
        <f t="shared" si="91"/>
        <v>2</v>
      </c>
      <c r="V51" s="100">
        <f t="shared" si="91"/>
        <v>2</v>
      </c>
      <c r="W51" s="100">
        <f t="shared" si="91"/>
        <v>2</v>
      </c>
      <c r="X51" s="100">
        <f t="shared" si="91"/>
        <v>3</v>
      </c>
      <c r="Y51" s="100">
        <f t="shared" si="91"/>
        <v>4</v>
      </c>
      <c r="Z51" s="100">
        <f t="shared" si="91"/>
        <v>2</v>
      </c>
      <c r="AA51" s="100">
        <f t="shared" si="91"/>
        <v>2</v>
      </c>
      <c r="AB51" s="100">
        <f t="shared" si="91"/>
        <v>1</v>
      </c>
      <c r="AC51" s="100">
        <f t="shared" si="91"/>
        <v>1</v>
      </c>
      <c r="AD51" s="100">
        <f t="shared" si="91"/>
        <v>1</v>
      </c>
      <c r="AE51" s="100">
        <f t="shared" si="91"/>
        <v>2</v>
      </c>
      <c r="AF51" s="100">
        <f t="shared" si="91"/>
        <v>3</v>
      </c>
      <c r="AG51" s="100">
        <f t="shared" si="91"/>
        <v>2</v>
      </c>
      <c r="AH51" s="101">
        <v>2.0</v>
      </c>
      <c r="AI51" s="99" t="s">
        <v>78</v>
      </c>
      <c r="AJ51" s="99" t="s">
        <v>79</v>
      </c>
      <c r="AK51" s="99" t="s">
        <v>79</v>
      </c>
      <c r="AL51" s="99" t="s">
        <v>78</v>
      </c>
      <c r="AM51" s="99" t="s">
        <v>79</v>
      </c>
      <c r="AN51" s="99" t="s">
        <v>79</v>
      </c>
      <c r="AO51" s="99" t="s">
        <v>77</v>
      </c>
      <c r="AP51" s="99" t="s">
        <v>76</v>
      </c>
      <c r="AQ51" s="99" t="s">
        <v>76</v>
      </c>
      <c r="AR51" s="99" t="s">
        <v>79</v>
      </c>
      <c r="AS51" s="99" t="s">
        <v>75</v>
      </c>
      <c r="AT51" s="99" t="s">
        <v>77</v>
      </c>
      <c r="AU51" s="99" t="s">
        <v>79</v>
      </c>
      <c r="AV51" s="99" t="s">
        <v>77</v>
      </c>
      <c r="AW51" s="99" t="s">
        <v>77</v>
      </c>
      <c r="AX51" s="102">
        <f t="shared" ref="AX51:BL51" si="92">COLUMN(INDIRECT(AI51&amp;1))</f>
        <v>3</v>
      </c>
      <c r="AY51" s="102">
        <f t="shared" si="92"/>
        <v>2</v>
      </c>
      <c r="AZ51" s="102">
        <f t="shared" si="92"/>
        <v>2</v>
      </c>
      <c r="BA51" s="102">
        <f t="shared" si="92"/>
        <v>3</v>
      </c>
      <c r="BB51" s="102">
        <f t="shared" si="92"/>
        <v>2</v>
      </c>
      <c r="BC51" s="102">
        <f t="shared" si="92"/>
        <v>2</v>
      </c>
      <c r="BD51" s="102">
        <f t="shared" si="92"/>
        <v>1</v>
      </c>
      <c r="BE51" s="102">
        <f t="shared" si="92"/>
        <v>5</v>
      </c>
      <c r="BF51" s="102">
        <f t="shared" si="92"/>
        <v>5</v>
      </c>
      <c r="BG51" s="102">
        <f t="shared" si="92"/>
        <v>2</v>
      </c>
      <c r="BH51" s="102">
        <f t="shared" si="92"/>
        <v>4</v>
      </c>
      <c r="BI51" s="102">
        <f t="shared" si="92"/>
        <v>1</v>
      </c>
      <c r="BJ51" s="102">
        <f t="shared" si="92"/>
        <v>2</v>
      </c>
      <c r="BK51" s="102">
        <f t="shared" si="92"/>
        <v>1</v>
      </c>
      <c r="BL51" s="102">
        <f t="shared" si="92"/>
        <v>1</v>
      </c>
      <c r="BM51" s="102"/>
      <c r="BN51" s="102"/>
      <c r="BO51" s="36"/>
      <c r="BP51" s="36"/>
      <c r="BQ51" s="37"/>
      <c r="BR51" s="37"/>
      <c r="BS51" s="37"/>
      <c r="BT51" s="37"/>
      <c r="BU51" s="37"/>
      <c r="BV51" s="37"/>
      <c r="BW51" s="37"/>
      <c r="BX51" s="37"/>
      <c r="BY51" s="102"/>
      <c r="BZ51" s="102"/>
      <c r="CA51" s="102"/>
      <c r="CB51" s="102"/>
      <c r="CC51" s="102"/>
      <c r="CD51" s="102"/>
      <c r="CE51" s="102"/>
    </row>
    <row r="52">
      <c r="A52" s="40" t="s">
        <v>39</v>
      </c>
      <c r="B52" s="98">
        <v>3.0</v>
      </c>
      <c r="C52" s="98">
        <v>1.0</v>
      </c>
      <c r="D52" s="99" t="s">
        <v>75</v>
      </c>
      <c r="E52" s="99" t="s">
        <v>78</v>
      </c>
      <c r="F52" s="99" t="s">
        <v>79</v>
      </c>
      <c r="G52" s="99" t="s">
        <v>78</v>
      </c>
      <c r="H52" s="99" t="s">
        <v>75</v>
      </c>
      <c r="I52" s="99" t="s">
        <v>78</v>
      </c>
      <c r="J52" s="99" t="s">
        <v>76</v>
      </c>
      <c r="K52" s="99" t="s">
        <v>79</v>
      </c>
      <c r="L52" s="99" t="s">
        <v>79</v>
      </c>
      <c r="M52" s="99" t="s">
        <v>79</v>
      </c>
      <c r="N52" s="99" t="s">
        <v>77</v>
      </c>
      <c r="O52" s="99" t="s">
        <v>78</v>
      </c>
      <c r="P52" s="99" t="s">
        <v>75</v>
      </c>
      <c r="Q52" s="99" t="s">
        <v>79</v>
      </c>
      <c r="R52" s="99" t="s">
        <v>75</v>
      </c>
      <c r="S52" s="100">
        <f t="shared" ref="S52:AG52" si="93">COLUMN(INDIRECT(D52&amp;4))</f>
        <v>4</v>
      </c>
      <c r="T52" s="100">
        <f t="shared" si="93"/>
        <v>3</v>
      </c>
      <c r="U52" s="100">
        <f t="shared" si="93"/>
        <v>2</v>
      </c>
      <c r="V52" s="100">
        <f t="shared" si="93"/>
        <v>3</v>
      </c>
      <c r="W52" s="100">
        <f t="shared" si="93"/>
        <v>4</v>
      </c>
      <c r="X52" s="100">
        <f t="shared" si="93"/>
        <v>3</v>
      </c>
      <c r="Y52" s="100">
        <f t="shared" si="93"/>
        <v>5</v>
      </c>
      <c r="Z52" s="100">
        <f t="shared" si="93"/>
        <v>2</v>
      </c>
      <c r="AA52" s="100">
        <f t="shared" si="93"/>
        <v>2</v>
      </c>
      <c r="AB52" s="100">
        <f t="shared" si="93"/>
        <v>2</v>
      </c>
      <c r="AC52" s="100">
        <f t="shared" si="93"/>
        <v>1</v>
      </c>
      <c r="AD52" s="100">
        <f t="shared" si="93"/>
        <v>3</v>
      </c>
      <c r="AE52" s="100">
        <f t="shared" si="93"/>
        <v>4</v>
      </c>
      <c r="AF52" s="100">
        <f t="shared" si="93"/>
        <v>2</v>
      </c>
      <c r="AG52" s="100">
        <f t="shared" si="93"/>
        <v>4</v>
      </c>
      <c r="AH52" s="101">
        <v>2.0</v>
      </c>
      <c r="AI52" s="99" t="s">
        <v>79</v>
      </c>
      <c r="AJ52" s="99" t="s">
        <v>79</v>
      </c>
      <c r="AK52" s="99" t="s">
        <v>78</v>
      </c>
      <c r="AL52" s="99" t="s">
        <v>78</v>
      </c>
      <c r="AM52" s="99" t="s">
        <v>75</v>
      </c>
      <c r="AN52" s="99" t="s">
        <v>78</v>
      </c>
      <c r="AO52" s="99" t="s">
        <v>79</v>
      </c>
      <c r="AP52" s="99" t="s">
        <v>76</v>
      </c>
      <c r="AQ52" s="99" t="s">
        <v>78</v>
      </c>
      <c r="AR52" s="99" t="s">
        <v>75</v>
      </c>
      <c r="AS52" s="99" t="s">
        <v>76</v>
      </c>
      <c r="AT52" s="99" t="s">
        <v>79</v>
      </c>
      <c r="AU52" s="99" t="s">
        <v>78</v>
      </c>
      <c r="AV52" s="99" t="s">
        <v>75</v>
      </c>
      <c r="AW52" s="99" t="s">
        <v>78</v>
      </c>
      <c r="AX52" s="102">
        <f t="shared" ref="AX52:BL52" si="94">COLUMN(INDIRECT(AI52&amp;1))</f>
        <v>2</v>
      </c>
      <c r="AY52" s="102">
        <f t="shared" si="94"/>
        <v>2</v>
      </c>
      <c r="AZ52" s="102">
        <f t="shared" si="94"/>
        <v>3</v>
      </c>
      <c r="BA52" s="102">
        <f t="shared" si="94"/>
        <v>3</v>
      </c>
      <c r="BB52" s="102">
        <f t="shared" si="94"/>
        <v>4</v>
      </c>
      <c r="BC52" s="102">
        <f t="shared" si="94"/>
        <v>3</v>
      </c>
      <c r="BD52" s="102">
        <f t="shared" si="94"/>
        <v>2</v>
      </c>
      <c r="BE52" s="102">
        <f t="shared" si="94"/>
        <v>5</v>
      </c>
      <c r="BF52" s="102">
        <f t="shared" si="94"/>
        <v>3</v>
      </c>
      <c r="BG52" s="102">
        <f t="shared" si="94"/>
        <v>4</v>
      </c>
      <c r="BH52" s="102">
        <f t="shared" si="94"/>
        <v>5</v>
      </c>
      <c r="BI52" s="102">
        <f t="shared" si="94"/>
        <v>2</v>
      </c>
      <c r="BJ52" s="102">
        <f t="shared" si="94"/>
        <v>3</v>
      </c>
      <c r="BK52" s="102">
        <f t="shared" si="94"/>
        <v>4</v>
      </c>
      <c r="BL52" s="102">
        <f t="shared" si="94"/>
        <v>3</v>
      </c>
      <c r="BM52" s="102"/>
      <c r="BN52" s="102"/>
      <c r="BO52" s="36"/>
      <c r="BP52" s="36"/>
      <c r="BQ52" s="37"/>
      <c r="BR52" s="37"/>
      <c r="BS52" s="37"/>
      <c r="BT52" s="37"/>
      <c r="BU52" s="37"/>
      <c r="BV52" s="37"/>
      <c r="BW52" s="37"/>
      <c r="BX52" s="37"/>
      <c r="BY52" s="102"/>
      <c r="BZ52" s="102"/>
      <c r="CA52" s="102"/>
      <c r="CB52" s="102"/>
      <c r="CC52" s="102"/>
      <c r="CD52" s="102"/>
      <c r="CE52" s="102"/>
    </row>
    <row r="53">
      <c r="A53" s="40" t="s">
        <v>41</v>
      </c>
      <c r="B53" s="98">
        <v>3.0</v>
      </c>
      <c r="C53" s="98">
        <v>1.0</v>
      </c>
      <c r="D53" s="99" t="s">
        <v>75</v>
      </c>
      <c r="E53" s="99" t="s">
        <v>77</v>
      </c>
      <c r="F53" s="99" t="s">
        <v>78</v>
      </c>
      <c r="G53" s="99" t="s">
        <v>78</v>
      </c>
      <c r="H53" s="99" t="s">
        <v>77</v>
      </c>
      <c r="I53" s="99" t="s">
        <v>77</v>
      </c>
      <c r="J53" s="99" t="s">
        <v>76</v>
      </c>
      <c r="K53" s="99" t="s">
        <v>77</v>
      </c>
      <c r="L53" s="99" t="s">
        <v>75</v>
      </c>
      <c r="M53" s="99" t="s">
        <v>79</v>
      </c>
      <c r="N53" s="99" t="s">
        <v>79</v>
      </c>
      <c r="O53" s="99" t="s">
        <v>78</v>
      </c>
      <c r="P53" s="99" t="s">
        <v>78</v>
      </c>
      <c r="Q53" s="99" t="s">
        <v>77</v>
      </c>
      <c r="R53" s="99" t="s">
        <v>78</v>
      </c>
      <c r="S53" s="100">
        <f t="shared" ref="S53:AG53" si="95">COLUMN(INDIRECT(D53&amp;4))</f>
        <v>4</v>
      </c>
      <c r="T53" s="100">
        <f t="shared" si="95"/>
        <v>1</v>
      </c>
      <c r="U53" s="100">
        <f t="shared" si="95"/>
        <v>3</v>
      </c>
      <c r="V53" s="100">
        <f t="shared" si="95"/>
        <v>3</v>
      </c>
      <c r="W53" s="100">
        <f t="shared" si="95"/>
        <v>1</v>
      </c>
      <c r="X53" s="100">
        <f t="shared" si="95"/>
        <v>1</v>
      </c>
      <c r="Y53" s="100">
        <f t="shared" si="95"/>
        <v>5</v>
      </c>
      <c r="Z53" s="100">
        <f t="shared" si="95"/>
        <v>1</v>
      </c>
      <c r="AA53" s="100">
        <f t="shared" si="95"/>
        <v>4</v>
      </c>
      <c r="AB53" s="100">
        <f t="shared" si="95"/>
        <v>2</v>
      </c>
      <c r="AC53" s="100">
        <f t="shared" si="95"/>
        <v>2</v>
      </c>
      <c r="AD53" s="100">
        <f t="shared" si="95"/>
        <v>3</v>
      </c>
      <c r="AE53" s="100">
        <f t="shared" si="95"/>
        <v>3</v>
      </c>
      <c r="AF53" s="100">
        <f t="shared" si="95"/>
        <v>1</v>
      </c>
      <c r="AG53" s="100">
        <f t="shared" si="95"/>
        <v>3</v>
      </c>
      <c r="AH53" s="101">
        <v>2.0</v>
      </c>
      <c r="AI53" s="99" t="s">
        <v>76</v>
      </c>
      <c r="AJ53" s="99" t="s">
        <v>79</v>
      </c>
      <c r="AK53" s="99" t="s">
        <v>77</v>
      </c>
      <c r="AL53" s="99" t="s">
        <v>78</v>
      </c>
      <c r="AM53" s="99" t="s">
        <v>75</v>
      </c>
      <c r="AN53" s="99" t="s">
        <v>77</v>
      </c>
      <c r="AO53" s="99" t="s">
        <v>79</v>
      </c>
      <c r="AP53" s="99" t="s">
        <v>75</v>
      </c>
      <c r="AQ53" s="99" t="s">
        <v>78</v>
      </c>
      <c r="AR53" s="99" t="s">
        <v>79</v>
      </c>
      <c r="AS53" s="99" t="s">
        <v>76</v>
      </c>
      <c r="AT53" s="99" t="s">
        <v>79</v>
      </c>
      <c r="AU53" s="99" t="s">
        <v>77</v>
      </c>
      <c r="AV53" s="99" t="s">
        <v>77</v>
      </c>
      <c r="AW53" s="99" t="s">
        <v>79</v>
      </c>
      <c r="AX53" s="102">
        <f t="shared" ref="AX53:BL53" si="96">COLUMN(INDIRECT(AI53&amp;1))</f>
        <v>5</v>
      </c>
      <c r="AY53" s="102">
        <f t="shared" si="96"/>
        <v>2</v>
      </c>
      <c r="AZ53" s="102">
        <f t="shared" si="96"/>
        <v>1</v>
      </c>
      <c r="BA53" s="102">
        <f t="shared" si="96"/>
        <v>3</v>
      </c>
      <c r="BB53" s="102">
        <f t="shared" si="96"/>
        <v>4</v>
      </c>
      <c r="BC53" s="102">
        <f t="shared" si="96"/>
        <v>1</v>
      </c>
      <c r="BD53" s="102">
        <f t="shared" si="96"/>
        <v>2</v>
      </c>
      <c r="BE53" s="102">
        <f t="shared" si="96"/>
        <v>4</v>
      </c>
      <c r="BF53" s="102">
        <f t="shared" si="96"/>
        <v>3</v>
      </c>
      <c r="BG53" s="102">
        <f t="shared" si="96"/>
        <v>2</v>
      </c>
      <c r="BH53" s="102">
        <f t="shared" si="96"/>
        <v>5</v>
      </c>
      <c r="BI53" s="102">
        <f t="shared" si="96"/>
        <v>2</v>
      </c>
      <c r="BJ53" s="102">
        <f t="shared" si="96"/>
        <v>1</v>
      </c>
      <c r="BK53" s="102">
        <f t="shared" si="96"/>
        <v>1</v>
      </c>
      <c r="BL53" s="102">
        <f t="shared" si="96"/>
        <v>2</v>
      </c>
      <c r="BM53" s="102"/>
      <c r="BN53" s="102"/>
      <c r="BO53" s="36"/>
      <c r="BP53" s="36"/>
      <c r="BQ53" s="37"/>
      <c r="BR53" s="37"/>
      <c r="BS53" s="37"/>
      <c r="BT53" s="37"/>
      <c r="BU53" s="37"/>
      <c r="BV53" s="37"/>
      <c r="BW53" s="37"/>
      <c r="BX53" s="37"/>
      <c r="BY53" s="102"/>
      <c r="BZ53" s="102"/>
      <c r="CA53" s="102"/>
      <c r="CB53" s="102"/>
      <c r="CC53" s="102"/>
      <c r="CD53" s="102"/>
      <c r="CE53" s="102"/>
    </row>
    <row r="54">
      <c r="A54" s="40" t="s">
        <v>43</v>
      </c>
      <c r="B54" s="98">
        <v>3.0</v>
      </c>
      <c r="C54" s="98">
        <v>1.0</v>
      </c>
      <c r="D54" s="99" t="s">
        <v>75</v>
      </c>
      <c r="E54" s="99" t="s">
        <v>77</v>
      </c>
      <c r="F54" s="99" t="s">
        <v>75</v>
      </c>
      <c r="G54" s="99" t="s">
        <v>78</v>
      </c>
      <c r="H54" s="99" t="s">
        <v>77</v>
      </c>
      <c r="I54" s="99" t="s">
        <v>79</v>
      </c>
      <c r="J54" s="99" t="s">
        <v>76</v>
      </c>
      <c r="K54" s="99" t="s">
        <v>77</v>
      </c>
      <c r="L54" s="99" t="s">
        <v>75</v>
      </c>
      <c r="M54" s="99" t="s">
        <v>77</v>
      </c>
      <c r="N54" s="99" t="s">
        <v>78</v>
      </c>
      <c r="O54" s="99" t="s">
        <v>77</v>
      </c>
      <c r="P54" s="99" t="s">
        <v>75</v>
      </c>
      <c r="Q54" s="99" t="s">
        <v>77</v>
      </c>
      <c r="R54" s="99" t="s">
        <v>78</v>
      </c>
      <c r="S54" s="100">
        <f t="shared" ref="S54:AG54" si="97">COLUMN(INDIRECT(D54&amp;4))</f>
        <v>4</v>
      </c>
      <c r="T54" s="100">
        <f t="shared" si="97"/>
        <v>1</v>
      </c>
      <c r="U54" s="100">
        <f t="shared" si="97"/>
        <v>4</v>
      </c>
      <c r="V54" s="100">
        <f t="shared" si="97"/>
        <v>3</v>
      </c>
      <c r="W54" s="100">
        <f t="shared" si="97"/>
        <v>1</v>
      </c>
      <c r="X54" s="100">
        <f t="shared" si="97"/>
        <v>2</v>
      </c>
      <c r="Y54" s="100">
        <f t="shared" si="97"/>
        <v>5</v>
      </c>
      <c r="Z54" s="100">
        <f t="shared" si="97"/>
        <v>1</v>
      </c>
      <c r="AA54" s="100">
        <f t="shared" si="97"/>
        <v>4</v>
      </c>
      <c r="AB54" s="100">
        <f t="shared" si="97"/>
        <v>1</v>
      </c>
      <c r="AC54" s="100">
        <f t="shared" si="97"/>
        <v>3</v>
      </c>
      <c r="AD54" s="100">
        <f t="shared" si="97"/>
        <v>1</v>
      </c>
      <c r="AE54" s="100">
        <f t="shared" si="97"/>
        <v>4</v>
      </c>
      <c r="AF54" s="100">
        <f t="shared" si="97"/>
        <v>1</v>
      </c>
      <c r="AG54" s="100">
        <f t="shared" si="97"/>
        <v>3</v>
      </c>
      <c r="AH54" s="101">
        <v>2.0</v>
      </c>
      <c r="AI54" s="99" t="s">
        <v>76</v>
      </c>
      <c r="AJ54" s="99" t="s">
        <v>77</v>
      </c>
      <c r="AK54" s="99" t="s">
        <v>77</v>
      </c>
      <c r="AL54" s="99" t="s">
        <v>77</v>
      </c>
      <c r="AM54" s="99" t="s">
        <v>78</v>
      </c>
      <c r="AN54" s="99" t="s">
        <v>79</v>
      </c>
      <c r="AO54" s="99" t="s">
        <v>77</v>
      </c>
      <c r="AP54" s="99" t="s">
        <v>76</v>
      </c>
      <c r="AQ54" s="99" t="s">
        <v>75</v>
      </c>
      <c r="AR54" s="99" t="s">
        <v>77</v>
      </c>
      <c r="AS54" s="99" t="s">
        <v>76</v>
      </c>
      <c r="AT54" s="99" t="s">
        <v>77</v>
      </c>
      <c r="AU54" s="99" t="s">
        <v>77</v>
      </c>
      <c r="AV54" s="99" t="s">
        <v>77</v>
      </c>
      <c r="AW54" s="99" t="s">
        <v>77</v>
      </c>
      <c r="AX54" s="102">
        <f t="shared" ref="AX54:BL54" si="98">COLUMN(INDIRECT(AI54&amp;1))</f>
        <v>5</v>
      </c>
      <c r="AY54" s="102">
        <f t="shared" si="98"/>
        <v>1</v>
      </c>
      <c r="AZ54" s="102">
        <f t="shared" si="98"/>
        <v>1</v>
      </c>
      <c r="BA54" s="102">
        <f t="shared" si="98"/>
        <v>1</v>
      </c>
      <c r="BB54" s="102">
        <f t="shared" si="98"/>
        <v>3</v>
      </c>
      <c r="BC54" s="102">
        <f t="shared" si="98"/>
        <v>2</v>
      </c>
      <c r="BD54" s="102">
        <f t="shared" si="98"/>
        <v>1</v>
      </c>
      <c r="BE54" s="102">
        <f t="shared" si="98"/>
        <v>5</v>
      </c>
      <c r="BF54" s="102">
        <f t="shared" si="98"/>
        <v>4</v>
      </c>
      <c r="BG54" s="102">
        <f t="shared" si="98"/>
        <v>1</v>
      </c>
      <c r="BH54" s="102">
        <f t="shared" si="98"/>
        <v>5</v>
      </c>
      <c r="BI54" s="102">
        <f t="shared" si="98"/>
        <v>1</v>
      </c>
      <c r="BJ54" s="102">
        <f t="shared" si="98"/>
        <v>1</v>
      </c>
      <c r="BK54" s="102">
        <f t="shared" si="98"/>
        <v>1</v>
      </c>
      <c r="BL54" s="102">
        <f t="shared" si="98"/>
        <v>1</v>
      </c>
      <c r="BM54" s="102"/>
      <c r="BN54" s="102"/>
      <c r="BO54" s="36"/>
      <c r="BP54" s="36"/>
      <c r="BQ54" s="37"/>
      <c r="BR54" s="37"/>
      <c r="BS54" s="37"/>
      <c r="BT54" s="37"/>
      <c r="BU54" s="37"/>
      <c r="BV54" s="37"/>
      <c r="BW54" s="37"/>
      <c r="BX54" s="37"/>
      <c r="BY54" s="102"/>
      <c r="BZ54" s="102"/>
      <c r="CA54" s="102"/>
      <c r="CB54" s="102"/>
      <c r="CC54" s="102"/>
      <c r="CD54" s="102"/>
      <c r="CE54" s="102"/>
    </row>
    <row r="55">
      <c r="A55" s="40" t="s">
        <v>42</v>
      </c>
      <c r="B55" s="98">
        <v>3.0</v>
      </c>
      <c r="C55" s="98">
        <v>1.0</v>
      </c>
      <c r="D55" s="99" t="s">
        <v>76</v>
      </c>
      <c r="E55" s="99" t="s">
        <v>77</v>
      </c>
      <c r="F55" s="99" t="s">
        <v>75</v>
      </c>
      <c r="G55" s="99" t="s">
        <v>77</v>
      </c>
      <c r="H55" s="99" t="s">
        <v>79</v>
      </c>
      <c r="I55" s="99" t="s">
        <v>78</v>
      </c>
      <c r="J55" s="99" t="s">
        <v>76</v>
      </c>
      <c r="K55" s="99" t="s">
        <v>79</v>
      </c>
      <c r="L55" s="99" t="s">
        <v>76</v>
      </c>
      <c r="M55" s="99" t="s">
        <v>79</v>
      </c>
      <c r="N55" s="99" t="s">
        <v>77</v>
      </c>
      <c r="O55" s="99" t="s">
        <v>75</v>
      </c>
      <c r="P55" s="99" t="s">
        <v>76</v>
      </c>
      <c r="Q55" s="99" t="s">
        <v>79</v>
      </c>
      <c r="R55" s="99" t="s">
        <v>76</v>
      </c>
      <c r="S55" s="100">
        <f t="shared" ref="S55:AG55" si="99">COLUMN(INDIRECT(D55&amp;4))</f>
        <v>5</v>
      </c>
      <c r="T55" s="100">
        <f t="shared" si="99"/>
        <v>1</v>
      </c>
      <c r="U55" s="100">
        <f t="shared" si="99"/>
        <v>4</v>
      </c>
      <c r="V55" s="100">
        <f t="shared" si="99"/>
        <v>1</v>
      </c>
      <c r="W55" s="100">
        <f t="shared" si="99"/>
        <v>2</v>
      </c>
      <c r="X55" s="100">
        <f t="shared" si="99"/>
        <v>3</v>
      </c>
      <c r="Y55" s="100">
        <f t="shared" si="99"/>
        <v>5</v>
      </c>
      <c r="Z55" s="100">
        <f t="shared" si="99"/>
        <v>2</v>
      </c>
      <c r="AA55" s="100">
        <f t="shared" si="99"/>
        <v>5</v>
      </c>
      <c r="AB55" s="100">
        <f t="shared" si="99"/>
        <v>2</v>
      </c>
      <c r="AC55" s="100">
        <f t="shared" si="99"/>
        <v>1</v>
      </c>
      <c r="AD55" s="100">
        <f t="shared" si="99"/>
        <v>4</v>
      </c>
      <c r="AE55" s="100">
        <f t="shared" si="99"/>
        <v>5</v>
      </c>
      <c r="AF55" s="100">
        <f t="shared" si="99"/>
        <v>2</v>
      </c>
      <c r="AG55" s="100">
        <f t="shared" si="99"/>
        <v>5</v>
      </c>
      <c r="AH55" s="101">
        <v>2.0</v>
      </c>
      <c r="AI55" s="99" t="s">
        <v>76</v>
      </c>
      <c r="AJ55" s="99" t="s">
        <v>79</v>
      </c>
      <c r="AK55" s="99" t="s">
        <v>77</v>
      </c>
      <c r="AL55" s="99" t="s">
        <v>77</v>
      </c>
      <c r="AM55" s="99" t="s">
        <v>79</v>
      </c>
      <c r="AN55" s="99" t="s">
        <v>78</v>
      </c>
      <c r="AO55" s="99" t="s">
        <v>77</v>
      </c>
      <c r="AP55" s="99" t="s">
        <v>76</v>
      </c>
      <c r="AQ55" s="99" t="s">
        <v>76</v>
      </c>
      <c r="AR55" s="99" t="s">
        <v>77</v>
      </c>
      <c r="AS55" s="99" t="s">
        <v>76</v>
      </c>
      <c r="AT55" s="99" t="s">
        <v>79</v>
      </c>
      <c r="AU55" s="99" t="s">
        <v>77</v>
      </c>
      <c r="AV55" s="99" t="s">
        <v>78</v>
      </c>
      <c r="AW55" s="99" t="s">
        <v>79</v>
      </c>
      <c r="AX55" s="102">
        <f t="shared" ref="AX55:BL55" si="100">COLUMN(INDIRECT(AI55&amp;1))</f>
        <v>5</v>
      </c>
      <c r="AY55" s="102">
        <f t="shared" si="100"/>
        <v>2</v>
      </c>
      <c r="AZ55" s="102">
        <f t="shared" si="100"/>
        <v>1</v>
      </c>
      <c r="BA55" s="102">
        <f t="shared" si="100"/>
        <v>1</v>
      </c>
      <c r="BB55" s="102">
        <f t="shared" si="100"/>
        <v>2</v>
      </c>
      <c r="BC55" s="102">
        <f t="shared" si="100"/>
        <v>3</v>
      </c>
      <c r="BD55" s="102">
        <f t="shared" si="100"/>
        <v>1</v>
      </c>
      <c r="BE55" s="102">
        <f t="shared" si="100"/>
        <v>5</v>
      </c>
      <c r="BF55" s="102">
        <f t="shared" si="100"/>
        <v>5</v>
      </c>
      <c r="BG55" s="102">
        <f t="shared" si="100"/>
        <v>1</v>
      </c>
      <c r="BH55" s="102">
        <f t="shared" si="100"/>
        <v>5</v>
      </c>
      <c r="BI55" s="102">
        <f t="shared" si="100"/>
        <v>2</v>
      </c>
      <c r="BJ55" s="102">
        <f t="shared" si="100"/>
        <v>1</v>
      </c>
      <c r="BK55" s="102">
        <f t="shared" si="100"/>
        <v>3</v>
      </c>
      <c r="BL55" s="102">
        <f t="shared" si="100"/>
        <v>2</v>
      </c>
      <c r="BM55" s="102"/>
      <c r="BN55" s="102"/>
      <c r="BO55" s="36"/>
      <c r="BP55" s="36"/>
      <c r="BQ55" s="37"/>
      <c r="BR55" s="37"/>
      <c r="BS55" s="37"/>
      <c r="BT55" s="37"/>
      <c r="BU55" s="37"/>
      <c r="BV55" s="37"/>
      <c r="BW55" s="37"/>
      <c r="BX55" s="37"/>
      <c r="BY55" s="102"/>
      <c r="BZ55" s="102"/>
      <c r="CA55" s="102"/>
      <c r="CB55" s="102"/>
      <c r="CC55" s="102"/>
      <c r="CD55" s="102"/>
      <c r="CE55" s="102"/>
    </row>
    <row r="56">
      <c r="A56" s="103" t="s">
        <v>161</v>
      </c>
      <c r="B56" s="104">
        <v>3.0</v>
      </c>
      <c r="C56" s="104" t="s">
        <v>96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105">
        <f t="shared" ref="S56:AG56" si="101">SUM(S44:S55)/12</f>
        <v>4.166666667</v>
      </c>
      <c r="T56" s="105">
        <f t="shared" si="101"/>
        <v>1.583333333</v>
      </c>
      <c r="U56" s="105">
        <f t="shared" si="101"/>
        <v>3.333333333</v>
      </c>
      <c r="V56" s="105">
        <f t="shared" si="101"/>
        <v>3.083333333</v>
      </c>
      <c r="W56" s="105">
        <f t="shared" si="101"/>
        <v>2.166666667</v>
      </c>
      <c r="X56" s="105">
        <f t="shared" si="101"/>
        <v>2.666666667</v>
      </c>
      <c r="Y56" s="105">
        <f t="shared" si="101"/>
        <v>4.833333333</v>
      </c>
      <c r="Z56" s="105">
        <f t="shared" si="101"/>
        <v>1.75</v>
      </c>
      <c r="AA56" s="105">
        <f t="shared" si="101"/>
        <v>3.916666667</v>
      </c>
      <c r="AB56" s="105">
        <f t="shared" si="101"/>
        <v>1.666666667</v>
      </c>
      <c r="AC56" s="105">
        <f t="shared" si="101"/>
        <v>1.75</v>
      </c>
      <c r="AD56" s="105">
        <f t="shared" si="101"/>
        <v>2.666666667</v>
      </c>
      <c r="AE56" s="105">
        <f t="shared" si="101"/>
        <v>3.666666667</v>
      </c>
      <c r="AF56" s="105">
        <f t="shared" si="101"/>
        <v>1.916666667</v>
      </c>
      <c r="AG56" s="105">
        <f t="shared" si="101"/>
        <v>3.5</v>
      </c>
      <c r="AH56" s="106" t="s">
        <v>96</v>
      </c>
      <c r="AI56" s="105">
        <f t="shared" ref="AI56:BL56" si="102">SUM(AI44:AI55)/12</f>
        <v>0</v>
      </c>
      <c r="AJ56" s="105">
        <f t="shared" si="102"/>
        <v>0</v>
      </c>
      <c r="AK56" s="105">
        <f t="shared" si="102"/>
        <v>0</v>
      </c>
      <c r="AL56" s="105">
        <f t="shared" si="102"/>
        <v>0</v>
      </c>
      <c r="AM56" s="105">
        <f t="shared" si="102"/>
        <v>0</v>
      </c>
      <c r="AN56" s="105">
        <f t="shared" si="102"/>
        <v>0</v>
      </c>
      <c r="AO56" s="105">
        <f t="shared" si="102"/>
        <v>0</v>
      </c>
      <c r="AP56" s="105">
        <f t="shared" si="102"/>
        <v>0</v>
      </c>
      <c r="AQ56" s="105">
        <f t="shared" si="102"/>
        <v>0</v>
      </c>
      <c r="AR56" s="105">
        <f t="shared" si="102"/>
        <v>0</v>
      </c>
      <c r="AS56" s="105">
        <f t="shared" si="102"/>
        <v>0</v>
      </c>
      <c r="AT56" s="105">
        <f t="shared" si="102"/>
        <v>0</v>
      </c>
      <c r="AU56" s="105">
        <f t="shared" si="102"/>
        <v>0</v>
      </c>
      <c r="AV56" s="105">
        <f t="shared" si="102"/>
        <v>0</v>
      </c>
      <c r="AW56" s="105">
        <f t="shared" si="102"/>
        <v>0</v>
      </c>
      <c r="AX56" s="105">
        <f t="shared" si="102"/>
        <v>4.25</v>
      </c>
      <c r="AY56" s="105">
        <f t="shared" si="102"/>
        <v>1.916666667</v>
      </c>
      <c r="AZ56" s="105">
        <f t="shared" si="102"/>
        <v>1.583333333</v>
      </c>
      <c r="BA56" s="105">
        <f t="shared" si="102"/>
        <v>3</v>
      </c>
      <c r="BB56" s="105">
        <f t="shared" si="102"/>
        <v>2.5</v>
      </c>
      <c r="BC56" s="105">
        <f t="shared" si="102"/>
        <v>2.333333333</v>
      </c>
      <c r="BD56" s="105">
        <f t="shared" si="102"/>
        <v>2.333333333</v>
      </c>
      <c r="BE56" s="105">
        <f t="shared" si="102"/>
        <v>4.833333333</v>
      </c>
      <c r="BF56" s="105">
        <f t="shared" si="102"/>
        <v>3.666666667</v>
      </c>
      <c r="BG56" s="105">
        <f t="shared" si="102"/>
        <v>2.083333333</v>
      </c>
      <c r="BH56" s="105">
        <f t="shared" si="102"/>
        <v>4.75</v>
      </c>
      <c r="BI56" s="105">
        <f t="shared" si="102"/>
        <v>1.75</v>
      </c>
      <c r="BJ56" s="105">
        <f t="shared" si="102"/>
        <v>1.583333333</v>
      </c>
      <c r="BK56" s="105">
        <f t="shared" si="102"/>
        <v>2</v>
      </c>
      <c r="BL56" s="105">
        <f t="shared" si="102"/>
        <v>2.083333333</v>
      </c>
      <c r="BM56" s="102"/>
      <c r="BN56" s="102"/>
      <c r="BO56" s="30">
        <v>0.0</v>
      </c>
      <c r="BP56" s="30">
        <v>1.0</v>
      </c>
      <c r="BQ56" s="31">
        <f t="shared" ref="BQ56:BT56" si="103">SUM(BX14+BX63+BX104+BX109+BX114+BX119)/6</f>
        <v>1.813888889</v>
      </c>
      <c r="BR56" s="31">
        <f t="shared" si="103"/>
        <v>1.544444444</v>
      </c>
      <c r="BS56" s="31">
        <f t="shared" si="103"/>
        <v>1.566666667</v>
      </c>
      <c r="BT56" s="31">
        <f t="shared" si="103"/>
        <v>1.7</v>
      </c>
      <c r="BU56" s="31" t="str">
        <f>SUM(#REF!+#REF!+#REF!+#REF!+#REF!+#REF!)/6</f>
        <v>#REF!</v>
      </c>
      <c r="BV56" s="31">
        <f>SUM(CB14+CB63+CB104+CB109+CB114+CB119)/6</f>
        <v>0</v>
      </c>
      <c r="BW56" s="31">
        <v>5.0</v>
      </c>
      <c r="BX56" s="31">
        <f>SUM(AC14+AF34+S56+BD76+AC96)/5</f>
        <v>4.383333333</v>
      </c>
      <c r="BY56" s="102"/>
      <c r="BZ56" s="102"/>
      <c r="CA56" s="102"/>
      <c r="CB56" s="102"/>
      <c r="CC56" s="102"/>
      <c r="CD56" s="102"/>
      <c r="CE56" s="102"/>
    </row>
    <row r="57">
      <c r="A57" s="40" t="s">
        <v>140</v>
      </c>
      <c r="B57" s="107">
        <v>3.0</v>
      </c>
      <c r="C57" s="107">
        <v>2.0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>
        <f t="shared" ref="S57:BL57" si="104">SUM(S44:S49)/6</f>
        <v>4.666666667</v>
      </c>
      <c r="T57" s="40">
        <f t="shared" si="104"/>
        <v>1.833333333</v>
      </c>
      <c r="U57" s="40">
        <f t="shared" si="104"/>
        <v>4</v>
      </c>
      <c r="V57" s="40">
        <f t="shared" si="104"/>
        <v>3.5</v>
      </c>
      <c r="W57" s="40">
        <f t="shared" si="104"/>
        <v>2.5</v>
      </c>
      <c r="X57" s="40">
        <f t="shared" si="104"/>
        <v>3.166666667</v>
      </c>
      <c r="Y57" s="40">
        <f t="shared" si="104"/>
        <v>4.833333333</v>
      </c>
      <c r="Z57" s="40">
        <f t="shared" si="104"/>
        <v>1.833333333</v>
      </c>
      <c r="AA57" s="40">
        <f t="shared" si="104"/>
        <v>4.166666667</v>
      </c>
      <c r="AB57" s="40">
        <f t="shared" si="104"/>
        <v>1.833333333</v>
      </c>
      <c r="AC57" s="40">
        <f t="shared" si="104"/>
        <v>2</v>
      </c>
      <c r="AD57" s="40">
        <f t="shared" si="104"/>
        <v>3.166666667</v>
      </c>
      <c r="AE57" s="40">
        <f t="shared" si="104"/>
        <v>3.5</v>
      </c>
      <c r="AF57" s="40">
        <f t="shared" si="104"/>
        <v>2</v>
      </c>
      <c r="AG57" s="40">
        <f t="shared" si="104"/>
        <v>3.333333333</v>
      </c>
      <c r="AH57" s="40">
        <f t="shared" si="104"/>
        <v>1</v>
      </c>
      <c r="AI57" s="40">
        <f t="shared" si="104"/>
        <v>0</v>
      </c>
      <c r="AJ57" s="40">
        <f t="shared" si="104"/>
        <v>0</v>
      </c>
      <c r="AK57" s="40">
        <f t="shared" si="104"/>
        <v>0</v>
      </c>
      <c r="AL57" s="40">
        <f t="shared" si="104"/>
        <v>0</v>
      </c>
      <c r="AM57" s="40">
        <f t="shared" si="104"/>
        <v>0</v>
      </c>
      <c r="AN57" s="40">
        <f t="shared" si="104"/>
        <v>0</v>
      </c>
      <c r="AO57" s="40">
        <f t="shared" si="104"/>
        <v>0</v>
      </c>
      <c r="AP57" s="40">
        <f t="shared" si="104"/>
        <v>0</v>
      </c>
      <c r="AQ57" s="40">
        <f t="shared" si="104"/>
        <v>0</v>
      </c>
      <c r="AR57" s="40">
        <f t="shared" si="104"/>
        <v>0</v>
      </c>
      <c r="AS57" s="40">
        <f t="shared" si="104"/>
        <v>0</v>
      </c>
      <c r="AT57" s="40">
        <f t="shared" si="104"/>
        <v>0</v>
      </c>
      <c r="AU57" s="40">
        <f t="shared" si="104"/>
        <v>0</v>
      </c>
      <c r="AV57" s="40">
        <f t="shared" si="104"/>
        <v>0</v>
      </c>
      <c r="AW57" s="40">
        <f t="shared" si="104"/>
        <v>0</v>
      </c>
      <c r="AX57" s="40">
        <f t="shared" si="104"/>
        <v>4.333333333</v>
      </c>
      <c r="AY57" s="40">
        <f t="shared" si="104"/>
        <v>2.166666667</v>
      </c>
      <c r="AZ57" s="40">
        <f t="shared" si="104"/>
        <v>1.5</v>
      </c>
      <c r="BA57" s="40">
        <f t="shared" si="104"/>
        <v>3.333333333</v>
      </c>
      <c r="BB57" s="40">
        <f t="shared" si="104"/>
        <v>2</v>
      </c>
      <c r="BC57" s="40">
        <f t="shared" si="104"/>
        <v>2.5</v>
      </c>
      <c r="BD57" s="40">
        <f t="shared" si="104"/>
        <v>3</v>
      </c>
      <c r="BE57" s="40">
        <f t="shared" si="104"/>
        <v>4.833333333</v>
      </c>
      <c r="BF57" s="40">
        <f t="shared" si="104"/>
        <v>3.166666667</v>
      </c>
      <c r="BG57" s="40">
        <f t="shared" si="104"/>
        <v>2.166666667</v>
      </c>
      <c r="BH57" s="40">
        <f t="shared" si="104"/>
        <v>4.666666667</v>
      </c>
      <c r="BI57" s="40">
        <f t="shared" si="104"/>
        <v>1.833333333</v>
      </c>
      <c r="BJ57" s="40">
        <f t="shared" si="104"/>
        <v>1.666666667</v>
      </c>
      <c r="BK57" s="40">
        <f t="shared" si="104"/>
        <v>2</v>
      </c>
      <c r="BL57" s="40">
        <f t="shared" si="104"/>
        <v>2.5</v>
      </c>
      <c r="BM57" s="40">
        <f t="shared" ref="BM57:BM60" si="106">SUM(S57:AG57)+SUM(AX57:BL57)</f>
        <v>88</v>
      </c>
      <c r="BN57" s="40">
        <f>SUM(S57:AG57)+SUM(AX58:BL58)</f>
        <v>86</v>
      </c>
      <c r="BO57" s="69"/>
      <c r="BP57" s="69"/>
      <c r="BQ57" s="69"/>
      <c r="BR57" s="69"/>
      <c r="BS57" s="69"/>
      <c r="BT57" s="69"/>
      <c r="BU57" s="69"/>
      <c r="BV57" s="69"/>
      <c r="BW57" s="69">
        <v>5.0</v>
      </c>
      <c r="BX57" s="69"/>
      <c r="BY57" s="40">
        <f>SUM(AC15+AF41+S57+BD77+AC97)/5</f>
        <v>4.633333333</v>
      </c>
      <c r="BZ57" s="40">
        <f>SUM(AC16+AF35+S58+BD78+AC98)/5</f>
        <v>4.133333333</v>
      </c>
      <c r="CA57" s="40">
        <f>SUM(AC17+AF36+S59+BC79+AB99)/5</f>
        <v>4.086666667</v>
      </c>
      <c r="CB57" s="92"/>
      <c r="CC57" s="102"/>
      <c r="CD57" s="102"/>
      <c r="CE57" s="102"/>
    </row>
    <row r="58">
      <c r="A58" s="40" t="s">
        <v>141</v>
      </c>
      <c r="B58" s="107">
        <v>3.0</v>
      </c>
      <c r="C58" s="107">
        <v>1.0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>
        <f t="shared" ref="S58:BL58" si="105">SUM(S50:S55)/6</f>
        <v>3.666666667</v>
      </c>
      <c r="T58" s="40">
        <f t="shared" si="105"/>
        <v>1.333333333</v>
      </c>
      <c r="U58" s="40">
        <f t="shared" si="105"/>
        <v>2.666666667</v>
      </c>
      <c r="V58" s="40">
        <f t="shared" si="105"/>
        <v>2.666666667</v>
      </c>
      <c r="W58" s="40">
        <f t="shared" si="105"/>
        <v>1.833333333</v>
      </c>
      <c r="X58" s="40">
        <f t="shared" si="105"/>
        <v>2.166666667</v>
      </c>
      <c r="Y58" s="40">
        <f t="shared" si="105"/>
        <v>4.833333333</v>
      </c>
      <c r="Z58" s="40">
        <f t="shared" si="105"/>
        <v>1.666666667</v>
      </c>
      <c r="AA58" s="40">
        <f t="shared" si="105"/>
        <v>3.666666667</v>
      </c>
      <c r="AB58" s="40">
        <f t="shared" si="105"/>
        <v>1.5</v>
      </c>
      <c r="AC58" s="40">
        <f t="shared" si="105"/>
        <v>1.5</v>
      </c>
      <c r="AD58" s="40">
        <f t="shared" si="105"/>
        <v>2.166666667</v>
      </c>
      <c r="AE58" s="40">
        <f t="shared" si="105"/>
        <v>3.833333333</v>
      </c>
      <c r="AF58" s="40">
        <f t="shared" si="105"/>
        <v>1.833333333</v>
      </c>
      <c r="AG58" s="40">
        <f t="shared" si="105"/>
        <v>3.666666667</v>
      </c>
      <c r="AH58" s="40">
        <f t="shared" si="105"/>
        <v>2</v>
      </c>
      <c r="AI58" s="40">
        <f t="shared" si="105"/>
        <v>0</v>
      </c>
      <c r="AJ58" s="40">
        <f t="shared" si="105"/>
        <v>0</v>
      </c>
      <c r="AK58" s="40">
        <f t="shared" si="105"/>
        <v>0</v>
      </c>
      <c r="AL58" s="40">
        <f t="shared" si="105"/>
        <v>0</v>
      </c>
      <c r="AM58" s="40">
        <f t="shared" si="105"/>
        <v>0</v>
      </c>
      <c r="AN58" s="40">
        <f t="shared" si="105"/>
        <v>0</v>
      </c>
      <c r="AO58" s="40">
        <f t="shared" si="105"/>
        <v>0</v>
      </c>
      <c r="AP58" s="40">
        <f t="shared" si="105"/>
        <v>0</v>
      </c>
      <c r="AQ58" s="40">
        <f t="shared" si="105"/>
        <v>0</v>
      </c>
      <c r="AR58" s="40">
        <f t="shared" si="105"/>
        <v>0</v>
      </c>
      <c r="AS58" s="40">
        <f t="shared" si="105"/>
        <v>0</v>
      </c>
      <c r="AT58" s="40">
        <f t="shared" si="105"/>
        <v>0</v>
      </c>
      <c r="AU58" s="40">
        <f t="shared" si="105"/>
        <v>0</v>
      </c>
      <c r="AV58" s="40">
        <f t="shared" si="105"/>
        <v>0</v>
      </c>
      <c r="AW58" s="40">
        <f t="shared" si="105"/>
        <v>0</v>
      </c>
      <c r="AX58" s="40">
        <f t="shared" si="105"/>
        <v>4.166666667</v>
      </c>
      <c r="AY58" s="40">
        <f t="shared" si="105"/>
        <v>1.666666667</v>
      </c>
      <c r="AZ58" s="40">
        <f t="shared" si="105"/>
        <v>1.666666667</v>
      </c>
      <c r="BA58" s="40">
        <f t="shared" si="105"/>
        <v>2.666666667</v>
      </c>
      <c r="BB58" s="40">
        <f t="shared" si="105"/>
        <v>3</v>
      </c>
      <c r="BC58" s="40">
        <f t="shared" si="105"/>
        <v>2.166666667</v>
      </c>
      <c r="BD58" s="40">
        <f t="shared" si="105"/>
        <v>1.666666667</v>
      </c>
      <c r="BE58" s="40">
        <f t="shared" si="105"/>
        <v>4.833333333</v>
      </c>
      <c r="BF58" s="40">
        <f t="shared" si="105"/>
        <v>4.166666667</v>
      </c>
      <c r="BG58" s="40">
        <f t="shared" si="105"/>
        <v>2</v>
      </c>
      <c r="BH58" s="40">
        <f t="shared" si="105"/>
        <v>4.833333333</v>
      </c>
      <c r="BI58" s="40">
        <f t="shared" si="105"/>
        <v>1.666666667</v>
      </c>
      <c r="BJ58" s="40">
        <f t="shared" si="105"/>
        <v>1.5</v>
      </c>
      <c r="BK58" s="40">
        <f t="shared" si="105"/>
        <v>2</v>
      </c>
      <c r="BL58" s="40">
        <f t="shared" si="105"/>
        <v>1.666666667</v>
      </c>
      <c r="BM58" s="40">
        <f t="shared" si="106"/>
        <v>78.66666667</v>
      </c>
      <c r="BN58" s="40">
        <f>SUM(S58:AG58)+SUM(AX57:BL57)</f>
        <v>80.66666667</v>
      </c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40"/>
      <c r="BZ58" s="40"/>
      <c r="CA58" s="40"/>
      <c r="CB58" s="40"/>
      <c r="CC58" s="102"/>
      <c r="CD58" s="102"/>
      <c r="CE58" s="102"/>
    </row>
    <row r="59">
      <c r="A59" s="40" t="s">
        <v>169</v>
      </c>
      <c r="B59" s="104">
        <v>3.0</v>
      </c>
      <c r="C59" s="104">
        <v>2.0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>
        <f t="shared" ref="S59:BL59" si="107">SUM(S44:S49)/6</f>
        <v>4.666666667</v>
      </c>
      <c r="T59" s="40">
        <f t="shared" si="107"/>
        <v>1.833333333</v>
      </c>
      <c r="U59" s="40">
        <f t="shared" si="107"/>
        <v>4</v>
      </c>
      <c r="V59" s="40">
        <f t="shared" si="107"/>
        <v>3.5</v>
      </c>
      <c r="W59" s="40">
        <f t="shared" si="107"/>
        <v>2.5</v>
      </c>
      <c r="X59" s="40">
        <f t="shared" si="107"/>
        <v>3.166666667</v>
      </c>
      <c r="Y59" s="40">
        <f t="shared" si="107"/>
        <v>4.833333333</v>
      </c>
      <c r="Z59" s="40">
        <f t="shared" si="107"/>
        <v>1.833333333</v>
      </c>
      <c r="AA59" s="40">
        <f t="shared" si="107"/>
        <v>4.166666667</v>
      </c>
      <c r="AB59" s="40">
        <f t="shared" si="107"/>
        <v>1.833333333</v>
      </c>
      <c r="AC59" s="40">
        <f t="shared" si="107"/>
        <v>2</v>
      </c>
      <c r="AD59" s="40">
        <f t="shared" si="107"/>
        <v>3.166666667</v>
      </c>
      <c r="AE59" s="40">
        <f t="shared" si="107"/>
        <v>3.5</v>
      </c>
      <c r="AF59" s="40">
        <f t="shared" si="107"/>
        <v>2</v>
      </c>
      <c r="AG59" s="40">
        <f t="shared" si="107"/>
        <v>3.333333333</v>
      </c>
      <c r="AH59" s="40">
        <f t="shared" si="107"/>
        <v>1</v>
      </c>
      <c r="AI59" s="40">
        <f t="shared" si="107"/>
        <v>0</v>
      </c>
      <c r="AJ59" s="40">
        <f t="shared" si="107"/>
        <v>0</v>
      </c>
      <c r="AK59" s="40">
        <f t="shared" si="107"/>
        <v>0</v>
      </c>
      <c r="AL59" s="40">
        <f t="shared" si="107"/>
        <v>0</v>
      </c>
      <c r="AM59" s="40">
        <f t="shared" si="107"/>
        <v>0</v>
      </c>
      <c r="AN59" s="40">
        <f t="shared" si="107"/>
        <v>0</v>
      </c>
      <c r="AO59" s="40">
        <f t="shared" si="107"/>
        <v>0</v>
      </c>
      <c r="AP59" s="40">
        <f t="shared" si="107"/>
        <v>0</v>
      </c>
      <c r="AQ59" s="40">
        <f t="shared" si="107"/>
        <v>0</v>
      </c>
      <c r="AR59" s="40">
        <f t="shared" si="107"/>
        <v>0</v>
      </c>
      <c r="AS59" s="40">
        <f t="shared" si="107"/>
        <v>0</v>
      </c>
      <c r="AT59" s="40">
        <f t="shared" si="107"/>
        <v>0</v>
      </c>
      <c r="AU59" s="40">
        <f t="shared" si="107"/>
        <v>0</v>
      </c>
      <c r="AV59" s="40">
        <f t="shared" si="107"/>
        <v>0</v>
      </c>
      <c r="AW59" s="40">
        <f t="shared" si="107"/>
        <v>0</v>
      </c>
      <c r="AX59" s="40">
        <f t="shared" si="107"/>
        <v>4.333333333</v>
      </c>
      <c r="AY59" s="40">
        <f t="shared" si="107"/>
        <v>2.166666667</v>
      </c>
      <c r="AZ59" s="40">
        <f t="shared" si="107"/>
        <v>1.5</v>
      </c>
      <c r="BA59" s="40">
        <f t="shared" si="107"/>
        <v>3.333333333</v>
      </c>
      <c r="BB59" s="40">
        <f t="shared" si="107"/>
        <v>2</v>
      </c>
      <c r="BC59" s="40">
        <f t="shared" si="107"/>
        <v>2.5</v>
      </c>
      <c r="BD59" s="40">
        <f t="shared" si="107"/>
        <v>3</v>
      </c>
      <c r="BE59" s="40">
        <f t="shared" si="107"/>
        <v>4.833333333</v>
      </c>
      <c r="BF59" s="40">
        <f t="shared" si="107"/>
        <v>3.166666667</v>
      </c>
      <c r="BG59" s="40">
        <f t="shared" si="107"/>
        <v>2.166666667</v>
      </c>
      <c r="BH59" s="40">
        <f t="shared" si="107"/>
        <v>4.666666667</v>
      </c>
      <c r="BI59" s="40">
        <f t="shared" si="107"/>
        <v>1.833333333</v>
      </c>
      <c r="BJ59" s="40">
        <f t="shared" si="107"/>
        <v>1.666666667</v>
      </c>
      <c r="BK59" s="40">
        <f t="shared" si="107"/>
        <v>2</v>
      </c>
      <c r="BL59" s="40">
        <f t="shared" si="107"/>
        <v>2.5</v>
      </c>
      <c r="BM59" s="40">
        <f t="shared" si="106"/>
        <v>88</v>
      </c>
      <c r="BN59" s="40">
        <f>SUM(S59:AG59)+SUM(AX60:BL60)</f>
        <v>85.83333333</v>
      </c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40"/>
      <c r="BZ59" s="40"/>
      <c r="CA59" s="40"/>
      <c r="CB59" s="40"/>
      <c r="CC59" s="102"/>
      <c r="CD59" s="102"/>
      <c r="CE59" s="102"/>
    </row>
    <row r="60">
      <c r="A60" s="40" t="s">
        <v>170</v>
      </c>
      <c r="B60" s="107">
        <v>3.0</v>
      </c>
      <c r="C60" s="107">
        <v>1.0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>
        <f t="shared" ref="S60:BL60" si="108">SUM(S52:S55)/4</f>
        <v>4.25</v>
      </c>
      <c r="T60" s="40">
        <f t="shared" si="108"/>
        <v>1.5</v>
      </c>
      <c r="U60" s="40">
        <f t="shared" si="108"/>
        <v>3.25</v>
      </c>
      <c r="V60" s="40">
        <f t="shared" si="108"/>
        <v>2.5</v>
      </c>
      <c r="W60" s="40">
        <f t="shared" si="108"/>
        <v>2</v>
      </c>
      <c r="X60" s="40">
        <f t="shared" si="108"/>
        <v>2.25</v>
      </c>
      <c r="Y60" s="40">
        <f t="shared" si="108"/>
        <v>5</v>
      </c>
      <c r="Z60" s="40">
        <f t="shared" si="108"/>
        <v>1.5</v>
      </c>
      <c r="AA60" s="40">
        <f t="shared" si="108"/>
        <v>3.75</v>
      </c>
      <c r="AB60" s="40">
        <f t="shared" si="108"/>
        <v>1.75</v>
      </c>
      <c r="AC60" s="40">
        <f t="shared" si="108"/>
        <v>1.75</v>
      </c>
      <c r="AD60" s="40">
        <f t="shared" si="108"/>
        <v>2.75</v>
      </c>
      <c r="AE60" s="40">
        <f t="shared" si="108"/>
        <v>4</v>
      </c>
      <c r="AF60" s="40">
        <f t="shared" si="108"/>
        <v>1.5</v>
      </c>
      <c r="AG60" s="40">
        <f t="shared" si="108"/>
        <v>3.75</v>
      </c>
      <c r="AH60" s="40">
        <f t="shared" si="108"/>
        <v>2</v>
      </c>
      <c r="AI60" s="40">
        <f t="shared" si="108"/>
        <v>0</v>
      </c>
      <c r="AJ60" s="40">
        <f t="shared" si="108"/>
        <v>0</v>
      </c>
      <c r="AK60" s="40">
        <f t="shared" si="108"/>
        <v>0</v>
      </c>
      <c r="AL60" s="40">
        <f t="shared" si="108"/>
        <v>0</v>
      </c>
      <c r="AM60" s="40">
        <f t="shared" si="108"/>
        <v>0</v>
      </c>
      <c r="AN60" s="40">
        <f t="shared" si="108"/>
        <v>0</v>
      </c>
      <c r="AO60" s="40">
        <f t="shared" si="108"/>
        <v>0</v>
      </c>
      <c r="AP60" s="40">
        <f t="shared" si="108"/>
        <v>0</v>
      </c>
      <c r="AQ60" s="40">
        <f t="shared" si="108"/>
        <v>0</v>
      </c>
      <c r="AR60" s="40">
        <f t="shared" si="108"/>
        <v>0</v>
      </c>
      <c r="AS60" s="40">
        <f t="shared" si="108"/>
        <v>0</v>
      </c>
      <c r="AT60" s="40">
        <f t="shared" si="108"/>
        <v>0</v>
      </c>
      <c r="AU60" s="40">
        <f t="shared" si="108"/>
        <v>0</v>
      </c>
      <c r="AV60" s="40">
        <f t="shared" si="108"/>
        <v>0</v>
      </c>
      <c r="AW60" s="40">
        <f t="shared" si="108"/>
        <v>0</v>
      </c>
      <c r="AX60" s="40">
        <f t="shared" si="108"/>
        <v>4.25</v>
      </c>
      <c r="AY60" s="40">
        <f t="shared" si="108"/>
        <v>1.75</v>
      </c>
      <c r="AZ60" s="40">
        <f t="shared" si="108"/>
        <v>1.5</v>
      </c>
      <c r="BA60" s="40">
        <f t="shared" si="108"/>
        <v>2</v>
      </c>
      <c r="BB60" s="40">
        <f t="shared" si="108"/>
        <v>3.25</v>
      </c>
      <c r="BC60" s="40">
        <f t="shared" si="108"/>
        <v>2.25</v>
      </c>
      <c r="BD60" s="40">
        <f t="shared" si="108"/>
        <v>1.5</v>
      </c>
      <c r="BE60" s="40">
        <f t="shared" si="108"/>
        <v>4.75</v>
      </c>
      <c r="BF60" s="40">
        <f t="shared" si="108"/>
        <v>3.75</v>
      </c>
      <c r="BG60" s="40">
        <f t="shared" si="108"/>
        <v>2</v>
      </c>
      <c r="BH60" s="40">
        <f t="shared" si="108"/>
        <v>5</v>
      </c>
      <c r="BI60" s="40">
        <f t="shared" si="108"/>
        <v>1.75</v>
      </c>
      <c r="BJ60" s="40">
        <f t="shared" si="108"/>
        <v>1.5</v>
      </c>
      <c r="BK60" s="40">
        <f t="shared" si="108"/>
        <v>2.25</v>
      </c>
      <c r="BL60" s="40">
        <f t="shared" si="108"/>
        <v>2</v>
      </c>
      <c r="BM60" s="40">
        <f t="shared" si="106"/>
        <v>81</v>
      </c>
      <c r="BN60" s="40">
        <f>SUM(S60:AG60)+SUM(AX59:BL59)</f>
        <v>83.16666667</v>
      </c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40"/>
      <c r="BZ60" s="40"/>
      <c r="CA60" s="40"/>
      <c r="CB60" s="40"/>
      <c r="CC60" s="102"/>
      <c r="CD60" s="102"/>
      <c r="CE60" s="102"/>
    </row>
    <row r="61">
      <c r="A61" s="40" t="s">
        <v>144</v>
      </c>
      <c r="B61" s="107">
        <v>1.0</v>
      </c>
      <c r="C61" s="107">
        <v>1.0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>
        <f t="shared" ref="S61:BL61" si="109">SUM(S50:S51)/2</f>
        <v>2.5</v>
      </c>
      <c r="T61" s="40">
        <f t="shared" si="109"/>
        <v>1</v>
      </c>
      <c r="U61" s="40">
        <f t="shared" si="109"/>
        <v>1.5</v>
      </c>
      <c r="V61" s="40">
        <f t="shared" si="109"/>
        <v>3</v>
      </c>
      <c r="W61" s="40">
        <f t="shared" si="109"/>
        <v>1.5</v>
      </c>
      <c r="X61" s="40">
        <f t="shared" si="109"/>
        <v>2</v>
      </c>
      <c r="Y61" s="40">
        <f t="shared" si="109"/>
        <v>4.5</v>
      </c>
      <c r="Z61" s="40">
        <f t="shared" si="109"/>
        <v>2</v>
      </c>
      <c r="AA61" s="40">
        <f t="shared" si="109"/>
        <v>3.5</v>
      </c>
      <c r="AB61" s="40">
        <f t="shared" si="109"/>
        <v>1</v>
      </c>
      <c r="AC61" s="40">
        <f t="shared" si="109"/>
        <v>1</v>
      </c>
      <c r="AD61" s="40">
        <f t="shared" si="109"/>
        <v>1</v>
      </c>
      <c r="AE61" s="40">
        <f t="shared" si="109"/>
        <v>3.5</v>
      </c>
      <c r="AF61" s="40">
        <f t="shared" si="109"/>
        <v>2.5</v>
      </c>
      <c r="AG61" s="40">
        <f t="shared" si="109"/>
        <v>3.5</v>
      </c>
      <c r="AH61" s="40">
        <f t="shared" si="109"/>
        <v>2</v>
      </c>
      <c r="AI61" s="40">
        <f t="shared" si="109"/>
        <v>0</v>
      </c>
      <c r="AJ61" s="40">
        <f t="shared" si="109"/>
        <v>0</v>
      </c>
      <c r="AK61" s="40">
        <f t="shared" si="109"/>
        <v>0</v>
      </c>
      <c r="AL61" s="40">
        <f t="shared" si="109"/>
        <v>0</v>
      </c>
      <c r="AM61" s="40">
        <f t="shared" si="109"/>
        <v>0</v>
      </c>
      <c r="AN61" s="40">
        <f t="shared" si="109"/>
        <v>0</v>
      </c>
      <c r="AO61" s="40">
        <f t="shared" si="109"/>
        <v>0</v>
      </c>
      <c r="AP61" s="40">
        <f t="shared" si="109"/>
        <v>0</v>
      </c>
      <c r="AQ61" s="40">
        <f t="shared" si="109"/>
        <v>0</v>
      </c>
      <c r="AR61" s="40">
        <f t="shared" si="109"/>
        <v>0</v>
      </c>
      <c r="AS61" s="40">
        <f t="shared" si="109"/>
        <v>0</v>
      </c>
      <c r="AT61" s="40">
        <f t="shared" si="109"/>
        <v>0</v>
      </c>
      <c r="AU61" s="40">
        <f t="shared" si="109"/>
        <v>0</v>
      </c>
      <c r="AV61" s="40">
        <f t="shared" si="109"/>
        <v>0</v>
      </c>
      <c r="AW61" s="40">
        <f t="shared" si="109"/>
        <v>0</v>
      </c>
      <c r="AX61" s="40">
        <f t="shared" si="109"/>
        <v>4</v>
      </c>
      <c r="AY61" s="40">
        <f t="shared" si="109"/>
        <v>1.5</v>
      </c>
      <c r="AZ61" s="40">
        <f t="shared" si="109"/>
        <v>2</v>
      </c>
      <c r="BA61" s="40">
        <f t="shared" si="109"/>
        <v>4</v>
      </c>
      <c r="BB61" s="40">
        <f t="shared" si="109"/>
        <v>2.5</v>
      </c>
      <c r="BC61" s="40">
        <f t="shared" si="109"/>
        <v>2</v>
      </c>
      <c r="BD61" s="40">
        <f t="shared" si="109"/>
        <v>2</v>
      </c>
      <c r="BE61" s="40">
        <f t="shared" si="109"/>
        <v>5</v>
      </c>
      <c r="BF61" s="40">
        <f t="shared" si="109"/>
        <v>5</v>
      </c>
      <c r="BG61" s="40">
        <f t="shared" si="109"/>
        <v>2</v>
      </c>
      <c r="BH61" s="40">
        <f t="shared" si="109"/>
        <v>4.5</v>
      </c>
      <c r="BI61" s="40">
        <f t="shared" si="109"/>
        <v>1.5</v>
      </c>
      <c r="BJ61" s="40">
        <f t="shared" si="109"/>
        <v>1.5</v>
      </c>
      <c r="BK61" s="40">
        <f t="shared" si="109"/>
        <v>1.5</v>
      </c>
      <c r="BL61" s="40">
        <f t="shared" si="109"/>
        <v>1</v>
      </c>
      <c r="BM61" s="40">
        <f>SUM(S61:AG61)+SUM(AX60:BL60)</f>
        <v>73.5</v>
      </c>
      <c r="BN61" s="40">
        <f>SUM(S61:AG61)/SUM(S62:AG62)</f>
        <v>0.7727272727</v>
      </c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40"/>
      <c r="BZ61" s="40"/>
      <c r="CA61" s="40"/>
      <c r="CB61" s="40"/>
      <c r="CC61" s="102"/>
      <c r="CD61" s="102"/>
      <c r="CE61" s="102"/>
    </row>
    <row r="62">
      <c r="A62" s="40" t="s">
        <v>80</v>
      </c>
      <c r="B62" s="107">
        <v>3.0</v>
      </c>
      <c r="C62" s="107" t="s">
        <v>96</v>
      </c>
      <c r="D62" s="40" t="s">
        <v>76</v>
      </c>
      <c r="E62" s="40" t="s">
        <v>77</v>
      </c>
      <c r="F62" s="40" t="s">
        <v>78</v>
      </c>
      <c r="G62" s="40" t="s">
        <v>78</v>
      </c>
      <c r="H62" s="40" t="s">
        <v>78</v>
      </c>
      <c r="I62" s="40" t="s">
        <v>79</v>
      </c>
      <c r="J62" s="40" t="s">
        <v>75</v>
      </c>
      <c r="K62" s="40" t="s">
        <v>78</v>
      </c>
      <c r="L62" s="40" t="s">
        <v>75</v>
      </c>
      <c r="M62" s="40" t="s">
        <v>77</v>
      </c>
      <c r="N62" s="40" t="s">
        <v>79</v>
      </c>
      <c r="O62" s="40" t="s">
        <v>75</v>
      </c>
      <c r="P62" s="40" t="s">
        <v>76</v>
      </c>
      <c r="Q62" s="40" t="s">
        <v>77</v>
      </c>
      <c r="R62" s="40" t="s">
        <v>75</v>
      </c>
      <c r="S62" s="40">
        <f t="shared" ref="S62:Y62" si="110">COLUMN(INDIRECT(D62&amp;4))</f>
        <v>5</v>
      </c>
      <c r="T62" s="40">
        <f t="shared" si="110"/>
        <v>1</v>
      </c>
      <c r="U62" s="40">
        <f t="shared" si="110"/>
        <v>3</v>
      </c>
      <c r="V62" s="40">
        <f t="shared" si="110"/>
        <v>3</v>
      </c>
      <c r="W62" s="40">
        <f t="shared" si="110"/>
        <v>3</v>
      </c>
      <c r="X62" s="40">
        <f t="shared" si="110"/>
        <v>2</v>
      </c>
      <c r="Y62" s="40">
        <f t="shared" si="110"/>
        <v>4</v>
      </c>
      <c r="Z62" s="40">
        <v>2.0</v>
      </c>
      <c r="AA62" s="40">
        <f t="shared" ref="AA62:AG62" si="111">COLUMN(INDIRECT(L62&amp;4))</f>
        <v>4</v>
      </c>
      <c r="AB62" s="40">
        <f t="shared" si="111"/>
        <v>1</v>
      </c>
      <c r="AC62" s="40">
        <f t="shared" si="111"/>
        <v>2</v>
      </c>
      <c r="AD62" s="40">
        <f t="shared" si="111"/>
        <v>4</v>
      </c>
      <c r="AE62" s="40">
        <f t="shared" si="111"/>
        <v>5</v>
      </c>
      <c r="AF62" s="40">
        <f t="shared" si="111"/>
        <v>1</v>
      </c>
      <c r="AG62" s="40">
        <f t="shared" si="111"/>
        <v>4</v>
      </c>
      <c r="AH62" s="108" t="s">
        <v>96</v>
      </c>
      <c r="AI62" s="40" t="s">
        <v>76</v>
      </c>
      <c r="AJ62" s="40" t="s">
        <v>77</v>
      </c>
      <c r="AK62" s="40" t="s">
        <v>78</v>
      </c>
      <c r="AL62" s="40" t="s">
        <v>76</v>
      </c>
      <c r="AM62" s="40" t="s">
        <v>78</v>
      </c>
      <c r="AN62" s="40" t="s">
        <v>79</v>
      </c>
      <c r="AO62" s="40" t="s">
        <v>76</v>
      </c>
      <c r="AP62" s="40" t="s">
        <v>75</v>
      </c>
      <c r="AQ62" s="40" t="s">
        <v>78</v>
      </c>
      <c r="AR62" s="40" t="s">
        <v>75</v>
      </c>
      <c r="AS62" s="40" t="s">
        <v>76</v>
      </c>
      <c r="AT62" s="40" t="s">
        <v>77</v>
      </c>
      <c r="AU62" s="40" t="s">
        <v>79</v>
      </c>
      <c r="AV62" s="40" t="s">
        <v>79</v>
      </c>
      <c r="AW62" s="40" t="s">
        <v>77</v>
      </c>
      <c r="AX62" s="109">
        <f t="shared" ref="AX62:BL62" si="112">COLUMN(INDIRECT(AI62&amp;1))</f>
        <v>5</v>
      </c>
      <c r="AY62" s="109">
        <f t="shared" si="112"/>
        <v>1</v>
      </c>
      <c r="AZ62" s="109">
        <f t="shared" si="112"/>
        <v>3</v>
      </c>
      <c r="BA62" s="109">
        <f t="shared" si="112"/>
        <v>5</v>
      </c>
      <c r="BB62" s="109">
        <f t="shared" si="112"/>
        <v>3</v>
      </c>
      <c r="BC62" s="109">
        <f t="shared" si="112"/>
        <v>2</v>
      </c>
      <c r="BD62" s="109">
        <f t="shared" si="112"/>
        <v>5</v>
      </c>
      <c r="BE62" s="109">
        <f t="shared" si="112"/>
        <v>4</v>
      </c>
      <c r="BF62" s="109">
        <f t="shared" si="112"/>
        <v>3</v>
      </c>
      <c r="BG62" s="109">
        <f t="shared" si="112"/>
        <v>4</v>
      </c>
      <c r="BH62" s="109">
        <f t="shared" si="112"/>
        <v>5</v>
      </c>
      <c r="BI62" s="109">
        <f t="shared" si="112"/>
        <v>1</v>
      </c>
      <c r="BJ62" s="109">
        <f t="shared" si="112"/>
        <v>2</v>
      </c>
      <c r="BK62" s="109">
        <f t="shared" si="112"/>
        <v>2</v>
      </c>
      <c r="BL62" s="109">
        <f t="shared" si="112"/>
        <v>1</v>
      </c>
      <c r="BM62" s="31">
        <v>0.8695652173913043</v>
      </c>
      <c r="BN62" s="110">
        <v>0.7727272727272727</v>
      </c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102"/>
      <c r="CD62" s="102"/>
      <c r="CE62" s="102"/>
    </row>
    <row r="63">
      <c r="A63" s="40" t="s">
        <v>97</v>
      </c>
      <c r="B63" s="107">
        <v>3.0</v>
      </c>
      <c r="C63" s="107" t="s">
        <v>96</v>
      </c>
      <c r="D63" s="111">
        <v>5.0</v>
      </c>
      <c r="E63" s="111">
        <v>16.0</v>
      </c>
      <c r="F63" s="111">
        <v>13.0</v>
      </c>
      <c r="G63" s="111">
        <v>3.0</v>
      </c>
      <c r="H63" s="111">
        <v>23.0</v>
      </c>
      <c r="I63" s="111">
        <v>12.0</v>
      </c>
      <c r="J63" s="111">
        <v>4.0</v>
      </c>
      <c r="K63" s="111">
        <v>27.0</v>
      </c>
      <c r="L63" s="111">
        <v>14.0</v>
      </c>
      <c r="M63" s="111">
        <v>11.0</v>
      </c>
      <c r="N63" s="111">
        <v>2.0</v>
      </c>
      <c r="O63" s="111">
        <v>24.0</v>
      </c>
      <c r="P63" s="111">
        <v>30.0</v>
      </c>
      <c r="Q63" s="111">
        <v>26.0</v>
      </c>
      <c r="R63" s="111">
        <v>29.0</v>
      </c>
      <c r="S63" s="107">
        <v>5.0</v>
      </c>
      <c r="T63" s="107">
        <v>16.0</v>
      </c>
      <c r="U63" s="107">
        <v>13.0</v>
      </c>
      <c r="V63" s="107">
        <v>3.0</v>
      </c>
      <c r="W63" s="107">
        <v>23.0</v>
      </c>
      <c r="X63" s="107">
        <v>12.0</v>
      </c>
      <c r="Y63" s="107">
        <v>4.0</v>
      </c>
      <c r="Z63" s="107">
        <v>27.0</v>
      </c>
      <c r="AA63" s="107">
        <v>14.0</v>
      </c>
      <c r="AB63" s="107">
        <v>11.0</v>
      </c>
      <c r="AC63" s="107">
        <v>2.0</v>
      </c>
      <c r="AD63" s="107">
        <v>24.0</v>
      </c>
      <c r="AE63" s="107">
        <v>30.0</v>
      </c>
      <c r="AF63" s="107">
        <v>26.0</v>
      </c>
      <c r="AG63" s="107">
        <v>29.0</v>
      </c>
      <c r="AH63" s="108" t="s">
        <v>96</v>
      </c>
      <c r="AI63" s="111">
        <v>15.0</v>
      </c>
      <c r="AJ63" s="111">
        <v>1.0</v>
      </c>
      <c r="AK63" s="111">
        <v>18.0</v>
      </c>
      <c r="AL63" s="111">
        <v>25.0</v>
      </c>
      <c r="AM63" s="111">
        <v>28.0</v>
      </c>
      <c r="AN63" s="111">
        <v>7.0</v>
      </c>
      <c r="AO63" s="111">
        <v>20.0</v>
      </c>
      <c r="AP63" s="111">
        <v>9.0</v>
      </c>
      <c r="AQ63" s="111">
        <v>8.0</v>
      </c>
      <c r="AR63" s="111">
        <v>19.0</v>
      </c>
      <c r="AS63" s="111">
        <v>10.0</v>
      </c>
      <c r="AT63" s="111">
        <v>21.0</v>
      </c>
      <c r="AU63" s="111">
        <v>17.0</v>
      </c>
      <c r="AV63" s="111">
        <v>22.0</v>
      </c>
      <c r="AW63" s="111">
        <v>6.0</v>
      </c>
      <c r="AX63" s="107">
        <v>15.0</v>
      </c>
      <c r="AY63" s="107">
        <v>1.0</v>
      </c>
      <c r="AZ63" s="107">
        <v>18.0</v>
      </c>
      <c r="BA63" s="107">
        <v>25.0</v>
      </c>
      <c r="BB63" s="107">
        <v>28.0</v>
      </c>
      <c r="BC63" s="107">
        <v>7.0</v>
      </c>
      <c r="BD63" s="107">
        <v>20.0</v>
      </c>
      <c r="BE63" s="107">
        <v>9.0</v>
      </c>
      <c r="BF63" s="107">
        <v>8.0</v>
      </c>
      <c r="BG63" s="107">
        <v>19.0</v>
      </c>
      <c r="BH63" s="107">
        <v>10.0</v>
      </c>
      <c r="BI63" s="107">
        <v>21.0</v>
      </c>
      <c r="BJ63" s="107">
        <v>17.0</v>
      </c>
      <c r="BK63" s="107">
        <v>22.0</v>
      </c>
      <c r="BL63" s="107">
        <v>6.0</v>
      </c>
      <c r="BM63" s="89">
        <f>SUM(S60:AG60)+SUM(AX60:BL60)</f>
        <v>81</v>
      </c>
      <c r="BN63" s="107">
        <f>SUM(S61:AG61)+SUM(AX61:BL61)</f>
        <v>74</v>
      </c>
      <c r="BO63" s="31">
        <v>2.0</v>
      </c>
      <c r="BP63" s="31">
        <v>2.0</v>
      </c>
      <c r="BQ63" s="89">
        <f t="shared" ref="BQ63:BT63" si="113">SUM(BX21+BX76+BX105)/3</f>
        <v>2.377777778</v>
      </c>
      <c r="BR63" s="89">
        <f t="shared" si="113"/>
        <v>1.7</v>
      </c>
      <c r="BS63" s="89">
        <f t="shared" si="113"/>
        <v>1.344444444</v>
      </c>
      <c r="BT63" s="89">
        <f t="shared" si="113"/>
        <v>1.668888889</v>
      </c>
      <c r="BU63" s="89" t="str">
        <f>SUM(#REF!+#REF!+#REF!)/3</f>
        <v>#REF!</v>
      </c>
      <c r="BV63" s="89">
        <f>SUM(CB21+CB76+CB105)/3</f>
        <v>0</v>
      </c>
      <c r="BW63" s="89">
        <v>6.0</v>
      </c>
      <c r="BX63" s="89">
        <f>SUM(Y14+BH34+BJ76+BL56+Y96)/5</f>
        <v>1.816666667</v>
      </c>
      <c r="BY63" s="89">
        <f>SUM(Y15+BH41+BL57+BJ77+Y97)/5</f>
        <v>1.866666667</v>
      </c>
      <c r="BZ63" s="89">
        <f>SUM(Y16+BH35+BL58+BL78+Y98)/5</f>
        <v>2.266666667</v>
      </c>
      <c r="CA63" s="89">
        <f>SUM(Y17+BH36+BL59+BL79+Y99)/5</f>
        <v>2.333333333</v>
      </c>
      <c r="CB63" s="92"/>
      <c r="CC63" s="104"/>
      <c r="CD63" s="104"/>
      <c r="CE63" s="104"/>
    </row>
    <row r="64">
      <c r="A64" s="112" t="s">
        <v>82</v>
      </c>
      <c r="B64" s="113">
        <v>4.0</v>
      </c>
      <c r="C64" s="113">
        <v>2.0</v>
      </c>
      <c r="D64" s="114" t="s">
        <v>77</v>
      </c>
      <c r="E64" s="114" t="s">
        <v>79</v>
      </c>
      <c r="F64" s="114" t="s">
        <v>77</v>
      </c>
      <c r="G64" s="114" t="s">
        <v>78</v>
      </c>
      <c r="H64" s="114" t="s">
        <v>79</v>
      </c>
      <c r="I64" s="114" t="s">
        <v>78</v>
      </c>
      <c r="J64" s="114" t="s">
        <v>79</v>
      </c>
      <c r="K64" s="114" t="s">
        <v>78</v>
      </c>
      <c r="L64" s="114" t="s">
        <v>75</v>
      </c>
      <c r="M64" s="114" t="s">
        <v>76</v>
      </c>
      <c r="N64" s="114" t="s">
        <v>75</v>
      </c>
      <c r="O64" s="114" t="s">
        <v>78</v>
      </c>
      <c r="P64" s="114" t="s">
        <v>77</v>
      </c>
      <c r="Q64" s="114" t="s">
        <v>77</v>
      </c>
      <c r="R64" s="114" t="s">
        <v>76</v>
      </c>
      <c r="S64" s="115">
        <f t="shared" ref="S64:AG64" si="114">COLUMN(INDIRECT(D64&amp;4))</f>
        <v>1</v>
      </c>
      <c r="T64" s="115">
        <f t="shared" si="114"/>
        <v>2</v>
      </c>
      <c r="U64" s="115">
        <f t="shared" si="114"/>
        <v>1</v>
      </c>
      <c r="V64" s="115">
        <f t="shared" si="114"/>
        <v>3</v>
      </c>
      <c r="W64" s="115">
        <f t="shared" si="114"/>
        <v>2</v>
      </c>
      <c r="X64" s="115">
        <f t="shared" si="114"/>
        <v>3</v>
      </c>
      <c r="Y64" s="115">
        <f t="shared" si="114"/>
        <v>2</v>
      </c>
      <c r="Z64" s="115">
        <f t="shared" si="114"/>
        <v>3</v>
      </c>
      <c r="AA64" s="115">
        <f t="shared" si="114"/>
        <v>4</v>
      </c>
      <c r="AB64" s="115">
        <f t="shared" si="114"/>
        <v>5</v>
      </c>
      <c r="AC64" s="115">
        <f t="shared" si="114"/>
        <v>4</v>
      </c>
      <c r="AD64" s="115">
        <f t="shared" si="114"/>
        <v>3</v>
      </c>
      <c r="AE64" s="115">
        <f t="shared" si="114"/>
        <v>1</v>
      </c>
      <c r="AF64" s="115">
        <f t="shared" si="114"/>
        <v>1</v>
      </c>
      <c r="AG64" s="115">
        <f t="shared" si="114"/>
        <v>5</v>
      </c>
      <c r="AH64" s="116">
        <v>1.0</v>
      </c>
      <c r="AI64" s="114" t="s">
        <v>76</v>
      </c>
      <c r="AJ64" s="114" t="s">
        <v>78</v>
      </c>
      <c r="AK64" s="114" t="s">
        <v>75</v>
      </c>
      <c r="AL64" s="114" t="s">
        <v>77</v>
      </c>
      <c r="AM64" s="114" t="s">
        <v>79</v>
      </c>
      <c r="AN64" s="114" t="s">
        <v>76</v>
      </c>
      <c r="AO64" s="114" t="s">
        <v>75</v>
      </c>
      <c r="AP64" s="114" t="s">
        <v>77</v>
      </c>
      <c r="AQ64" s="114" t="s">
        <v>77</v>
      </c>
      <c r="AR64" s="114" t="s">
        <v>78</v>
      </c>
      <c r="AS64" s="114" t="s">
        <v>75</v>
      </c>
      <c r="AT64" s="114" t="s">
        <v>79</v>
      </c>
      <c r="AU64" s="114" t="s">
        <v>77</v>
      </c>
      <c r="AV64" s="114" t="s">
        <v>78</v>
      </c>
      <c r="AW64" s="114" t="s">
        <v>76</v>
      </c>
      <c r="AX64" s="117">
        <f t="shared" ref="AX64:BL64" si="115">COLUMN(INDIRECT(AI64&amp;1))</f>
        <v>5</v>
      </c>
      <c r="AY64" s="117">
        <f t="shared" si="115"/>
        <v>3</v>
      </c>
      <c r="AZ64" s="117">
        <f t="shared" si="115"/>
        <v>4</v>
      </c>
      <c r="BA64" s="117">
        <f t="shared" si="115"/>
        <v>1</v>
      </c>
      <c r="BB64" s="117">
        <f t="shared" si="115"/>
        <v>2</v>
      </c>
      <c r="BC64" s="117">
        <f t="shared" si="115"/>
        <v>5</v>
      </c>
      <c r="BD64" s="117">
        <f t="shared" si="115"/>
        <v>4</v>
      </c>
      <c r="BE64" s="117">
        <f t="shared" si="115"/>
        <v>1</v>
      </c>
      <c r="BF64" s="117">
        <f t="shared" si="115"/>
        <v>1</v>
      </c>
      <c r="BG64" s="117">
        <f t="shared" si="115"/>
        <v>3</v>
      </c>
      <c r="BH64" s="117">
        <f t="shared" si="115"/>
        <v>4</v>
      </c>
      <c r="BI64" s="117">
        <f t="shared" si="115"/>
        <v>2</v>
      </c>
      <c r="BJ64" s="117">
        <f t="shared" si="115"/>
        <v>1</v>
      </c>
      <c r="BK64" s="117">
        <f t="shared" si="115"/>
        <v>3</v>
      </c>
      <c r="BL64" s="117">
        <f t="shared" si="115"/>
        <v>5</v>
      </c>
      <c r="BM64" s="31"/>
      <c r="BN64" s="118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8"/>
      <c r="BZ64" s="118"/>
      <c r="CA64" s="118"/>
      <c r="CB64" s="118"/>
      <c r="CC64" s="117"/>
      <c r="CD64" s="117"/>
      <c r="CE64" s="117"/>
    </row>
    <row r="65">
      <c r="A65" s="112" t="s">
        <v>84</v>
      </c>
      <c r="B65" s="113">
        <v>4.0</v>
      </c>
      <c r="C65" s="113">
        <v>2.0</v>
      </c>
      <c r="D65" s="114" t="s">
        <v>77</v>
      </c>
      <c r="E65" s="114" t="s">
        <v>75</v>
      </c>
      <c r="F65" s="114" t="s">
        <v>78</v>
      </c>
      <c r="G65" s="114" t="s">
        <v>75</v>
      </c>
      <c r="H65" s="114" t="s">
        <v>77</v>
      </c>
      <c r="I65" s="114" t="s">
        <v>78</v>
      </c>
      <c r="J65" s="114" t="s">
        <v>79</v>
      </c>
      <c r="K65" s="114" t="s">
        <v>77</v>
      </c>
      <c r="L65" s="114" t="s">
        <v>75</v>
      </c>
      <c r="M65" s="114" t="s">
        <v>76</v>
      </c>
      <c r="N65" s="114" t="s">
        <v>79</v>
      </c>
      <c r="O65" s="114" t="s">
        <v>75</v>
      </c>
      <c r="P65" s="114" t="s">
        <v>79</v>
      </c>
      <c r="Q65" s="114" t="s">
        <v>79</v>
      </c>
      <c r="R65" s="114" t="s">
        <v>75</v>
      </c>
      <c r="S65" s="115">
        <f t="shared" ref="S65:AG65" si="116">COLUMN(INDIRECT(D65&amp;4))</f>
        <v>1</v>
      </c>
      <c r="T65" s="115">
        <f t="shared" si="116"/>
        <v>4</v>
      </c>
      <c r="U65" s="115">
        <f t="shared" si="116"/>
        <v>3</v>
      </c>
      <c r="V65" s="115">
        <f t="shared" si="116"/>
        <v>4</v>
      </c>
      <c r="W65" s="115">
        <f t="shared" si="116"/>
        <v>1</v>
      </c>
      <c r="X65" s="115">
        <f t="shared" si="116"/>
        <v>3</v>
      </c>
      <c r="Y65" s="115">
        <f t="shared" si="116"/>
        <v>2</v>
      </c>
      <c r="Z65" s="115">
        <f t="shared" si="116"/>
        <v>1</v>
      </c>
      <c r="AA65" s="115">
        <f t="shared" si="116"/>
        <v>4</v>
      </c>
      <c r="AB65" s="115">
        <f t="shared" si="116"/>
        <v>5</v>
      </c>
      <c r="AC65" s="115">
        <f t="shared" si="116"/>
        <v>2</v>
      </c>
      <c r="AD65" s="115">
        <f t="shared" si="116"/>
        <v>4</v>
      </c>
      <c r="AE65" s="115">
        <f t="shared" si="116"/>
        <v>2</v>
      </c>
      <c r="AF65" s="115">
        <f t="shared" si="116"/>
        <v>2</v>
      </c>
      <c r="AG65" s="115">
        <f t="shared" si="116"/>
        <v>4</v>
      </c>
      <c r="AH65" s="116">
        <v>1.0</v>
      </c>
      <c r="AI65" s="114" t="s">
        <v>75</v>
      </c>
      <c r="AJ65" s="114" t="s">
        <v>75</v>
      </c>
      <c r="AK65" s="114" t="s">
        <v>78</v>
      </c>
      <c r="AL65" s="114" t="s">
        <v>79</v>
      </c>
      <c r="AM65" s="114" t="s">
        <v>77</v>
      </c>
      <c r="AN65" s="114" t="s">
        <v>76</v>
      </c>
      <c r="AO65" s="114" t="s">
        <v>75</v>
      </c>
      <c r="AP65" s="114" t="s">
        <v>77</v>
      </c>
      <c r="AQ65" s="114" t="s">
        <v>77</v>
      </c>
      <c r="AR65" s="114" t="s">
        <v>79</v>
      </c>
      <c r="AS65" s="114" t="s">
        <v>75</v>
      </c>
      <c r="AT65" s="114" t="s">
        <v>79</v>
      </c>
      <c r="AU65" s="114" t="s">
        <v>77</v>
      </c>
      <c r="AV65" s="114" t="s">
        <v>77</v>
      </c>
      <c r="AW65" s="114" t="s">
        <v>78</v>
      </c>
      <c r="AX65" s="117">
        <f t="shared" ref="AX65:BL65" si="117">COLUMN(INDIRECT(AI65&amp;1))</f>
        <v>4</v>
      </c>
      <c r="AY65" s="117">
        <f t="shared" si="117"/>
        <v>4</v>
      </c>
      <c r="AZ65" s="117">
        <f t="shared" si="117"/>
        <v>3</v>
      </c>
      <c r="BA65" s="117">
        <f t="shared" si="117"/>
        <v>2</v>
      </c>
      <c r="BB65" s="117">
        <f t="shared" si="117"/>
        <v>1</v>
      </c>
      <c r="BC65" s="117">
        <f t="shared" si="117"/>
        <v>5</v>
      </c>
      <c r="BD65" s="117">
        <f t="shared" si="117"/>
        <v>4</v>
      </c>
      <c r="BE65" s="117">
        <f t="shared" si="117"/>
        <v>1</v>
      </c>
      <c r="BF65" s="117">
        <f t="shared" si="117"/>
        <v>1</v>
      </c>
      <c r="BG65" s="117">
        <f t="shared" si="117"/>
        <v>2</v>
      </c>
      <c r="BH65" s="117">
        <f t="shared" si="117"/>
        <v>4</v>
      </c>
      <c r="BI65" s="117">
        <f t="shared" si="117"/>
        <v>2</v>
      </c>
      <c r="BJ65" s="117">
        <f t="shared" si="117"/>
        <v>1</v>
      </c>
      <c r="BK65" s="117">
        <f t="shared" si="117"/>
        <v>1</v>
      </c>
      <c r="BL65" s="117">
        <f t="shared" si="117"/>
        <v>3</v>
      </c>
      <c r="BM65" s="89"/>
      <c r="BN65" s="11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117"/>
      <c r="BZ65" s="117"/>
      <c r="CA65" s="117"/>
      <c r="CB65" s="117"/>
      <c r="CC65" s="117"/>
      <c r="CD65" s="117"/>
      <c r="CE65" s="117"/>
    </row>
    <row r="66">
      <c r="A66" s="112" t="s">
        <v>34</v>
      </c>
      <c r="B66" s="113">
        <v>4.0</v>
      </c>
      <c r="C66" s="113">
        <v>2.0</v>
      </c>
      <c r="D66" s="114" t="s">
        <v>79</v>
      </c>
      <c r="E66" s="114" t="s">
        <v>75</v>
      </c>
      <c r="F66" s="114" t="s">
        <v>77</v>
      </c>
      <c r="G66" s="114" t="s">
        <v>76</v>
      </c>
      <c r="H66" s="114" t="s">
        <v>79</v>
      </c>
      <c r="I66" s="114" t="s">
        <v>78</v>
      </c>
      <c r="J66" s="114" t="s">
        <v>77</v>
      </c>
      <c r="K66" s="114" t="s">
        <v>75</v>
      </c>
      <c r="L66" s="114" t="s">
        <v>78</v>
      </c>
      <c r="M66" s="114" t="s">
        <v>76</v>
      </c>
      <c r="N66" s="114" t="s">
        <v>79</v>
      </c>
      <c r="O66" s="114" t="s">
        <v>78</v>
      </c>
      <c r="P66" s="114" t="s">
        <v>77</v>
      </c>
      <c r="Q66" s="114" t="s">
        <v>79</v>
      </c>
      <c r="R66" s="114" t="s">
        <v>75</v>
      </c>
      <c r="S66" s="115">
        <f t="shared" ref="S66:AG66" si="118">COLUMN(INDIRECT(D66&amp;4))</f>
        <v>2</v>
      </c>
      <c r="T66" s="115">
        <f t="shared" si="118"/>
        <v>4</v>
      </c>
      <c r="U66" s="115">
        <f t="shared" si="118"/>
        <v>1</v>
      </c>
      <c r="V66" s="115">
        <f t="shared" si="118"/>
        <v>5</v>
      </c>
      <c r="W66" s="115">
        <f t="shared" si="118"/>
        <v>2</v>
      </c>
      <c r="X66" s="115">
        <f t="shared" si="118"/>
        <v>3</v>
      </c>
      <c r="Y66" s="115">
        <f t="shared" si="118"/>
        <v>1</v>
      </c>
      <c r="Z66" s="115">
        <f t="shared" si="118"/>
        <v>4</v>
      </c>
      <c r="AA66" s="115">
        <f t="shared" si="118"/>
        <v>3</v>
      </c>
      <c r="AB66" s="115">
        <f t="shared" si="118"/>
        <v>5</v>
      </c>
      <c r="AC66" s="115">
        <f t="shared" si="118"/>
        <v>2</v>
      </c>
      <c r="AD66" s="115">
        <f t="shared" si="118"/>
        <v>3</v>
      </c>
      <c r="AE66" s="115">
        <f t="shared" si="118"/>
        <v>1</v>
      </c>
      <c r="AF66" s="115">
        <f t="shared" si="118"/>
        <v>2</v>
      </c>
      <c r="AG66" s="115">
        <f t="shared" si="118"/>
        <v>4</v>
      </c>
      <c r="AH66" s="116">
        <v>1.0</v>
      </c>
      <c r="AI66" s="114" t="s">
        <v>76</v>
      </c>
      <c r="AJ66" s="114" t="s">
        <v>79</v>
      </c>
      <c r="AK66" s="114" t="s">
        <v>75</v>
      </c>
      <c r="AL66" s="114" t="s">
        <v>77</v>
      </c>
      <c r="AM66" s="114" t="s">
        <v>78</v>
      </c>
      <c r="AN66" s="114" t="s">
        <v>78</v>
      </c>
      <c r="AO66" s="114" t="s">
        <v>76</v>
      </c>
      <c r="AP66" s="114" t="s">
        <v>77</v>
      </c>
      <c r="AQ66" s="114" t="s">
        <v>77</v>
      </c>
      <c r="AR66" s="114" t="s">
        <v>75</v>
      </c>
      <c r="AS66" s="114" t="s">
        <v>75</v>
      </c>
      <c r="AT66" s="114" t="s">
        <v>79</v>
      </c>
      <c r="AU66" s="114" t="s">
        <v>79</v>
      </c>
      <c r="AV66" s="114" t="s">
        <v>78</v>
      </c>
      <c r="AW66" s="114" t="s">
        <v>76</v>
      </c>
      <c r="AX66" s="117">
        <f t="shared" ref="AX66:BL66" si="119">COLUMN(INDIRECT(AI66&amp;1))</f>
        <v>5</v>
      </c>
      <c r="AY66" s="117">
        <f t="shared" si="119"/>
        <v>2</v>
      </c>
      <c r="AZ66" s="117">
        <f t="shared" si="119"/>
        <v>4</v>
      </c>
      <c r="BA66" s="117">
        <f t="shared" si="119"/>
        <v>1</v>
      </c>
      <c r="BB66" s="117">
        <f t="shared" si="119"/>
        <v>3</v>
      </c>
      <c r="BC66" s="117">
        <f t="shared" si="119"/>
        <v>3</v>
      </c>
      <c r="BD66" s="117">
        <f t="shared" si="119"/>
        <v>5</v>
      </c>
      <c r="BE66" s="117">
        <f t="shared" si="119"/>
        <v>1</v>
      </c>
      <c r="BF66" s="117">
        <f t="shared" si="119"/>
        <v>1</v>
      </c>
      <c r="BG66" s="117">
        <f t="shared" si="119"/>
        <v>4</v>
      </c>
      <c r="BH66" s="117">
        <f t="shared" si="119"/>
        <v>4</v>
      </c>
      <c r="BI66" s="117">
        <f t="shared" si="119"/>
        <v>2</v>
      </c>
      <c r="BJ66" s="117">
        <f t="shared" si="119"/>
        <v>2</v>
      </c>
      <c r="BK66" s="117">
        <f t="shared" si="119"/>
        <v>3</v>
      </c>
      <c r="BL66" s="117">
        <f t="shared" si="119"/>
        <v>5</v>
      </c>
      <c r="BM66" s="117"/>
      <c r="BN66" s="11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117"/>
      <c r="BZ66" s="117"/>
      <c r="CA66" s="117"/>
      <c r="CB66" s="117"/>
      <c r="CC66" s="117"/>
      <c r="CD66" s="117"/>
      <c r="CE66" s="117"/>
    </row>
    <row r="67">
      <c r="A67" s="112" t="s">
        <v>35</v>
      </c>
      <c r="B67" s="113">
        <v>4.0</v>
      </c>
      <c r="C67" s="113">
        <v>2.0</v>
      </c>
      <c r="D67" s="114" t="s">
        <v>77</v>
      </c>
      <c r="E67" s="114" t="s">
        <v>78</v>
      </c>
      <c r="F67" s="114" t="s">
        <v>78</v>
      </c>
      <c r="G67" s="114" t="s">
        <v>75</v>
      </c>
      <c r="H67" s="114" t="s">
        <v>79</v>
      </c>
      <c r="I67" s="114" t="s">
        <v>78</v>
      </c>
      <c r="J67" s="114" t="s">
        <v>79</v>
      </c>
      <c r="K67" s="114" t="s">
        <v>78</v>
      </c>
      <c r="L67" s="114" t="s">
        <v>76</v>
      </c>
      <c r="M67" s="114" t="s">
        <v>76</v>
      </c>
      <c r="N67" s="114" t="s">
        <v>78</v>
      </c>
      <c r="O67" s="114" t="s">
        <v>79</v>
      </c>
      <c r="P67" s="114" t="s">
        <v>77</v>
      </c>
      <c r="Q67" s="114" t="s">
        <v>77</v>
      </c>
      <c r="R67" s="114" t="s">
        <v>75</v>
      </c>
      <c r="S67" s="115">
        <f t="shared" ref="S67:AG67" si="120">COLUMN(INDIRECT(D67&amp;4))</f>
        <v>1</v>
      </c>
      <c r="T67" s="115">
        <f t="shared" si="120"/>
        <v>3</v>
      </c>
      <c r="U67" s="115">
        <f t="shared" si="120"/>
        <v>3</v>
      </c>
      <c r="V67" s="115">
        <f t="shared" si="120"/>
        <v>4</v>
      </c>
      <c r="W67" s="115">
        <f t="shared" si="120"/>
        <v>2</v>
      </c>
      <c r="X67" s="115">
        <f t="shared" si="120"/>
        <v>3</v>
      </c>
      <c r="Y67" s="115">
        <f t="shared" si="120"/>
        <v>2</v>
      </c>
      <c r="Z67" s="115">
        <f t="shared" si="120"/>
        <v>3</v>
      </c>
      <c r="AA67" s="115">
        <f t="shared" si="120"/>
        <v>5</v>
      </c>
      <c r="AB67" s="115">
        <f t="shared" si="120"/>
        <v>5</v>
      </c>
      <c r="AC67" s="115">
        <f t="shared" si="120"/>
        <v>3</v>
      </c>
      <c r="AD67" s="115">
        <f t="shared" si="120"/>
        <v>2</v>
      </c>
      <c r="AE67" s="115">
        <f t="shared" si="120"/>
        <v>1</v>
      </c>
      <c r="AF67" s="115">
        <f t="shared" si="120"/>
        <v>1</v>
      </c>
      <c r="AG67" s="115">
        <f t="shared" si="120"/>
        <v>4</v>
      </c>
      <c r="AH67" s="116">
        <v>1.0</v>
      </c>
      <c r="AI67" s="114" t="s">
        <v>75</v>
      </c>
      <c r="AJ67" s="114" t="s">
        <v>78</v>
      </c>
      <c r="AK67" s="114" t="s">
        <v>75</v>
      </c>
      <c r="AL67" s="114" t="s">
        <v>79</v>
      </c>
      <c r="AM67" s="114" t="s">
        <v>79</v>
      </c>
      <c r="AN67" s="114" t="s">
        <v>76</v>
      </c>
      <c r="AO67" s="114" t="s">
        <v>76</v>
      </c>
      <c r="AP67" s="114" t="s">
        <v>79</v>
      </c>
      <c r="AQ67" s="114" t="s">
        <v>79</v>
      </c>
      <c r="AR67" s="114" t="s">
        <v>78</v>
      </c>
      <c r="AS67" s="114" t="s">
        <v>75</v>
      </c>
      <c r="AT67" s="114" t="s">
        <v>77</v>
      </c>
      <c r="AU67" s="114" t="s">
        <v>79</v>
      </c>
      <c r="AV67" s="114" t="s">
        <v>77</v>
      </c>
      <c r="AW67" s="114" t="s">
        <v>75</v>
      </c>
      <c r="AX67" s="117">
        <f t="shared" ref="AX67:BL67" si="121">COLUMN(INDIRECT(AI67&amp;1))</f>
        <v>4</v>
      </c>
      <c r="AY67" s="117">
        <f t="shared" si="121"/>
        <v>3</v>
      </c>
      <c r="AZ67" s="117">
        <f t="shared" si="121"/>
        <v>4</v>
      </c>
      <c r="BA67" s="117">
        <f t="shared" si="121"/>
        <v>2</v>
      </c>
      <c r="BB67" s="117">
        <f t="shared" si="121"/>
        <v>2</v>
      </c>
      <c r="BC67" s="117">
        <f t="shared" si="121"/>
        <v>5</v>
      </c>
      <c r="BD67" s="117">
        <f t="shared" si="121"/>
        <v>5</v>
      </c>
      <c r="BE67" s="117">
        <f t="shared" si="121"/>
        <v>2</v>
      </c>
      <c r="BF67" s="117">
        <f t="shared" si="121"/>
        <v>2</v>
      </c>
      <c r="BG67" s="117">
        <f t="shared" si="121"/>
        <v>3</v>
      </c>
      <c r="BH67" s="117">
        <f t="shared" si="121"/>
        <v>4</v>
      </c>
      <c r="BI67" s="117">
        <f t="shared" si="121"/>
        <v>1</v>
      </c>
      <c r="BJ67" s="117">
        <f t="shared" si="121"/>
        <v>2</v>
      </c>
      <c r="BK67" s="117">
        <f t="shared" si="121"/>
        <v>1</v>
      </c>
      <c r="BL67" s="117">
        <f t="shared" si="121"/>
        <v>4</v>
      </c>
      <c r="BM67" s="117"/>
      <c r="BN67" s="11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117"/>
      <c r="BZ67" s="117"/>
      <c r="CA67" s="117"/>
      <c r="CB67" s="117"/>
      <c r="CC67" s="117"/>
      <c r="CD67" s="117"/>
      <c r="CE67" s="117"/>
    </row>
    <row r="68">
      <c r="A68" s="112" t="s">
        <v>36</v>
      </c>
      <c r="B68" s="113">
        <v>4.0</v>
      </c>
      <c r="C68" s="113">
        <v>2.0</v>
      </c>
      <c r="D68" s="114" t="s">
        <v>77</v>
      </c>
      <c r="E68" s="114" t="s">
        <v>77</v>
      </c>
      <c r="F68" s="114" t="s">
        <v>77</v>
      </c>
      <c r="G68" s="114" t="s">
        <v>78</v>
      </c>
      <c r="H68" s="114" t="s">
        <v>77</v>
      </c>
      <c r="I68" s="114" t="s">
        <v>79</v>
      </c>
      <c r="J68" s="114" t="s">
        <v>79</v>
      </c>
      <c r="K68" s="114" t="s">
        <v>77</v>
      </c>
      <c r="L68" s="114" t="s">
        <v>75</v>
      </c>
      <c r="M68" s="114" t="s">
        <v>76</v>
      </c>
      <c r="N68" s="114" t="s">
        <v>76</v>
      </c>
      <c r="O68" s="114" t="s">
        <v>77</v>
      </c>
      <c r="P68" s="114" t="s">
        <v>77</v>
      </c>
      <c r="Q68" s="114" t="s">
        <v>78</v>
      </c>
      <c r="R68" s="114" t="s">
        <v>76</v>
      </c>
      <c r="S68" s="115">
        <f t="shared" ref="S68:AG68" si="122">COLUMN(INDIRECT(D68&amp;4))</f>
        <v>1</v>
      </c>
      <c r="T68" s="115">
        <f t="shared" si="122"/>
        <v>1</v>
      </c>
      <c r="U68" s="115">
        <f t="shared" si="122"/>
        <v>1</v>
      </c>
      <c r="V68" s="115">
        <f t="shared" si="122"/>
        <v>3</v>
      </c>
      <c r="W68" s="115">
        <f t="shared" si="122"/>
        <v>1</v>
      </c>
      <c r="X68" s="115">
        <f t="shared" si="122"/>
        <v>2</v>
      </c>
      <c r="Y68" s="115">
        <f t="shared" si="122"/>
        <v>2</v>
      </c>
      <c r="Z68" s="115">
        <f t="shared" si="122"/>
        <v>1</v>
      </c>
      <c r="AA68" s="115">
        <f t="shared" si="122"/>
        <v>4</v>
      </c>
      <c r="AB68" s="115">
        <f t="shared" si="122"/>
        <v>5</v>
      </c>
      <c r="AC68" s="115">
        <f t="shared" si="122"/>
        <v>5</v>
      </c>
      <c r="AD68" s="115">
        <f t="shared" si="122"/>
        <v>1</v>
      </c>
      <c r="AE68" s="115">
        <f t="shared" si="122"/>
        <v>1</v>
      </c>
      <c r="AF68" s="115">
        <f t="shared" si="122"/>
        <v>3</v>
      </c>
      <c r="AG68" s="115">
        <f t="shared" si="122"/>
        <v>5</v>
      </c>
      <c r="AH68" s="116">
        <v>1.0</v>
      </c>
      <c r="AI68" s="114" t="s">
        <v>78</v>
      </c>
      <c r="AJ68" s="114" t="s">
        <v>79</v>
      </c>
      <c r="AK68" s="114" t="s">
        <v>75</v>
      </c>
      <c r="AL68" s="114" t="s">
        <v>78</v>
      </c>
      <c r="AM68" s="114" t="s">
        <v>77</v>
      </c>
      <c r="AN68" s="114" t="s">
        <v>76</v>
      </c>
      <c r="AO68" s="114" t="s">
        <v>75</v>
      </c>
      <c r="AP68" s="114" t="s">
        <v>79</v>
      </c>
      <c r="AQ68" s="114" t="s">
        <v>77</v>
      </c>
      <c r="AR68" s="114" t="s">
        <v>79</v>
      </c>
      <c r="AS68" s="114" t="s">
        <v>78</v>
      </c>
      <c r="AT68" s="114" t="s">
        <v>79</v>
      </c>
      <c r="AU68" s="114" t="s">
        <v>79</v>
      </c>
      <c r="AV68" s="114" t="s">
        <v>75</v>
      </c>
      <c r="AW68" s="114" t="s">
        <v>78</v>
      </c>
      <c r="AX68" s="117">
        <f t="shared" ref="AX68:BL68" si="123">COLUMN(INDIRECT(AI68&amp;1))</f>
        <v>3</v>
      </c>
      <c r="AY68" s="117">
        <f t="shared" si="123"/>
        <v>2</v>
      </c>
      <c r="AZ68" s="117">
        <f t="shared" si="123"/>
        <v>4</v>
      </c>
      <c r="BA68" s="117">
        <f t="shared" si="123"/>
        <v>3</v>
      </c>
      <c r="BB68" s="117">
        <f t="shared" si="123"/>
        <v>1</v>
      </c>
      <c r="BC68" s="117">
        <f t="shared" si="123"/>
        <v>5</v>
      </c>
      <c r="BD68" s="117">
        <f t="shared" si="123"/>
        <v>4</v>
      </c>
      <c r="BE68" s="117">
        <f t="shared" si="123"/>
        <v>2</v>
      </c>
      <c r="BF68" s="117">
        <f t="shared" si="123"/>
        <v>1</v>
      </c>
      <c r="BG68" s="117">
        <f t="shared" si="123"/>
        <v>2</v>
      </c>
      <c r="BH68" s="117">
        <f t="shared" si="123"/>
        <v>3</v>
      </c>
      <c r="BI68" s="117">
        <f t="shared" si="123"/>
        <v>2</v>
      </c>
      <c r="BJ68" s="117">
        <f t="shared" si="123"/>
        <v>2</v>
      </c>
      <c r="BK68" s="117">
        <f t="shared" si="123"/>
        <v>4</v>
      </c>
      <c r="BL68" s="117">
        <f t="shared" si="123"/>
        <v>3</v>
      </c>
      <c r="BM68" s="117"/>
      <c r="BN68" s="11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117"/>
      <c r="BZ68" s="117"/>
      <c r="CA68" s="117"/>
      <c r="CB68" s="117"/>
      <c r="CC68" s="117"/>
      <c r="CD68" s="117"/>
      <c r="CE68" s="117"/>
    </row>
    <row r="69">
      <c r="A69" s="112" t="s">
        <v>99</v>
      </c>
      <c r="B69" s="113">
        <v>4.0</v>
      </c>
      <c r="C69" s="113">
        <v>2.0</v>
      </c>
      <c r="D69" s="114" t="s">
        <v>77</v>
      </c>
      <c r="E69" s="114" t="s">
        <v>78</v>
      </c>
      <c r="F69" s="114" t="s">
        <v>75</v>
      </c>
      <c r="G69" s="114" t="s">
        <v>76</v>
      </c>
      <c r="H69" s="114" t="s">
        <v>75</v>
      </c>
      <c r="I69" s="114" t="s">
        <v>76</v>
      </c>
      <c r="J69" s="114" t="s">
        <v>77</v>
      </c>
      <c r="K69" s="114" t="s">
        <v>75</v>
      </c>
      <c r="L69" s="114" t="s">
        <v>76</v>
      </c>
      <c r="M69" s="114" t="s">
        <v>76</v>
      </c>
      <c r="N69" s="114" t="s">
        <v>78</v>
      </c>
      <c r="O69" s="114" t="s">
        <v>75</v>
      </c>
      <c r="P69" s="114" t="s">
        <v>76</v>
      </c>
      <c r="Q69" s="114" t="s">
        <v>78</v>
      </c>
      <c r="R69" s="114" t="s">
        <v>76</v>
      </c>
      <c r="S69" s="115">
        <f t="shared" ref="S69:AG69" si="124">COLUMN(INDIRECT(D69&amp;4))</f>
        <v>1</v>
      </c>
      <c r="T69" s="115">
        <f t="shared" si="124"/>
        <v>3</v>
      </c>
      <c r="U69" s="115">
        <f t="shared" si="124"/>
        <v>4</v>
      </c>
      <c r="V69" s="115">
        <f t="shared" si="124"/>
        <v>5</v>
      </c>
      <c r="W69" s="115">
        <f t="shared" si="124"/>
        <v>4</v>
      </c>
      <c r="X69" s="115">
        <f t="shared" si="124"/>
        <v>5</v>
      </c>
      <c r="Y69" s="115">
        <f t="shared" si="124"/>
        <v>1</v>
      </c>
      <c r="Z69" s="115">
        <f t="shared" si="124"/>
        <v>4</v>
      </c>
      <c r="AA69" s="115">
        <f t="shared" si="124"/>
        <v>5</v>
      </c>
      <c r="AB69" s="115">
        <f t="shared" si="124"/>
        <v>5</v>
      </c>
      <c r="AC69" s="115">
        <f t="shared" si="124"/>
        <v>3</v>
      </c>
      <c r="AD69" s="115">
        <f t="shared" si="124"/>
        <v>4</v>
      </c>
      <c r="AE69" s="115">
        <f t="shared" si="124"/>
        <v>5</v>
      </c>
      <c r="AF69" s="115">
        <f t="shared" si="124"/>
        <v>3</v>
      </c>
      <c r="AG69" s="115">
        <f t="shared" si="124"/>
        <v>5</v>
      </c>
      <c r="AH69" s="116">
        <v>1.0</v>
      </c>
      <c r="AI69" s="114" t="s">
        <v>76</v>
      </c>
      <c r="AJ69" s="114" t="s">
        <v>75</v>
      </c>
      <c r="AK69" s="114" t="s">
        <v>75</v>
      </c>
      <c r="AL69" s="114" t="s">
        <v>78</v>
      </c>
      <c r="AM69" s="114" t="s">
        <v>75</v>
      </c>
      <c r="AN69" s="114" t="s">
        <v>76</v>
      </c>
      <c r="AO69" s="114" t="s">
        <v>75</v>
      </c>
      <c r="AP69" s="114" t="s">
        <v>79</v>
      </c>
      <c r="AQ69" s="114" t="s">
        <v>77</v>
      </c>
      <c r="AR69" s="114" t="s">
        <v>78</v>
      </c>
      <c r="AS69" s="114" t="s">
        <v>79</v>
      </c>
      <c r="AT69" s="114" t="s">
        <v>77</v>
      </c>
      <c r="AU69" s="114" t="s">
        <v>79</v>
      </c>
      <c r="AV69" s="114" t="s">
        <v>78</v>
      </c>
      <c r="AW69" s="114" t="s">
        <v>78</v>
      </c>
      <c r="AX69" s="117">
        <f t="shared" ref="AX69:BL69" si="125">COLUMN(INDIRECT(AI69&amp;1))</f>
        <v>5</v>
      </c>
      <c r="AY69" s="117">
        <f t="shared" si="125"/>
        <v>4</v>
      </c>
      <c r="AZ69" s="117">
        <f t="shared" si="125"/>
        <v>4</v>
      </c>
      <c r="BA69" s="117">
        <f t="shared" si="125"/>
        <v>3</v>
      </c>
      <c r="BB69" s="117">
        <f t="shared" si="125"/>
        <v>4</v>
      </c>
      <c r="BC69" s="117">
        <f t="shared" si="125"/>
        <v>5</v>
      </c>
      <c r="BD69" s="117">
        <f t="shared" si="125"/>
        <v>4</v>
      </c>
      <c r="BE69" s="117">
        <f t="shared" si="125"/>
        <v>2</v>
      </c>
      <c r="BF69" s="117">
        <f t="shared" si="125"/>
        <v>1</v>
      </c>
      <c r="BG69" s="117">
        <f t="shared" si="125"/>
        <v>3</v>
      </c>
      <c r="BH69" s="117">
        <f t="shared" si="125"/>
        <v>2</v>
      </c>
      <c r="BI69" s="117">
        <f t="shared" si="125"/>
        <v>1</v>
      </c>
      <c r="BJ69" s="117">
        <f t="shared" si="125"/>
        <v>2</v>
      </c>
      <c r="BK69" s="117">
        <f t="shared" si="125"/>
        <v>3</v>
      </c>
      <c r="BL69" s="117">
        <f t="shared" si="125"/>
        <v>3</v>
      </c>
      <c r="BM69" s="117"/>
      <c r="BN69" s="11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117"/>
      <c r="BZ69" s="117"/>
      <c r="CA69" s="117"/>
      <c r="CB69" s="117"/>
      <c r="CC69" s="117"/>
      <c r="CD69" s="117"/>
      <c r="CE69" s="117"/>
    </row>
    <row r="70">
      <c r="A70" s="112" t="s">
        <v>38</v>
      </c>
      <c r="B70" s="113">
        <v>4.0</v>
      </c>
      <c r="C70" s="113">
        <v>1.0</v>
      </c>
      <c r="D70" s="114" t="s">
        <v>79</v>
      </c>
      <c r="E70" s="114" t="s">
        <v>77</v>
      </c>
      <c r="F70" s="114" t="s">
        <v>79</v>
      </c>
      <c r="G70" s="114" t="s">
        <v>78</v>
      </c>
      <c r="H70" s="114" t="s">
        <v>77</v>
      </c>
      <c r="I70" s="114" t="s">
        <v>78</v>
      </c>
      <c r="J70" s="114" t="s">
        <v>77</v>
      </c>
      <c r="K70" s="114" t="s">
        <v>77</v>
      </c>
      <c r="L70" s="114" t="s">
        <v>78</v>
      </c>
      <c r="M70" s="114" t="s">
        <v>76</v>
      </c>
      <c r="N70" s="114" t="s">
        <v>77</v>
      </c>
      <c r="O70" s="114" t="s">
        <v>75</v>
      </c>
      <c r="P70" s="114" t="s">
        <v>77</v>
      </c>
      <c r="Q70" s="114" t="s">
        <v>77</v>
      </c>
      <c r="R70" s="114" t="s">
        <v>76</v>
      </c>
      <c r="S70" s="115">
        <f t="shared" ref="S70:AG70" si="126">COLUMN(INDIRECT(D70&amp;4))</f>
        <v>2</v>
      </c>
      <c r="T70" s="115">
        <f t="shared" si="126"/>
        <v>1</v>
      </c>
      <c r="U70" s="115">
        <f t="shared" si="126"/>
        <v>2</v>
      </c>
      <c r="V70" s="115">
        <f t="shared" si="126"/>
        <v>3</v>
      </c>
      <c r="W70" s="115">
        <f t="shared" si="126"/>
        <v>1</v>
      </c>
      <c r="X70" s="115">
        <f t="shared" si="126"/>
        <v>3</v>
      </c>
      <c r="Y70" s="115">
        <f t="shared" si="126"/>
        <v>1</v>
      </c>
      <c r="Z70" s="115">
        <f t="shared" si="126"/>
        <v>1</v>
      </c>
      <c r="AA70" s="115">
        <f t="shared" si="126"/>
        <v>3</v>
      </c>
      <c r="AB70" s="115">
        <f t="shared" si="126"/>
        <v>5</v>
      </c>
      <c r="AC70" s="115">
        <f t="shared" si="126"/>
        <v>1</v>
      </c>
      <c r="AD70" s="115">
        <f t="shared" si="126"/>
        <v>4</v>
      </c>
      <c r="AE70" s="115">
        <f t="shared" si="126"/>
        <v>1</v>
      </c>
      <c r="AF70" s="115">
        <f t="shared" si="126"/>
        <v>1</v>
      </c>
      <c r="AG70" s="115">
        <f t="shared" si="126"/>
        <v>5</v>
      </c>
      <c r="AH70" s="116">
        <v>2.0</v>
      </c>
      <c r="AI70" s="114" t="s">
        <v>76</v>
      </c>
      <c r="AJ70" s="114" t="s">
        <v>77</v>
      </c>
      <c r="AK70" s="114" t="s">
        <v>76</v>
      </c>
      <c r="AL70" s="114" t="s">
        <v>78</v>
      </c>
      <c r="AM70" s="114" t="s">
        <v>77</v>
      </c>
      <c r="AN70" s="114" t="s">
        <v>76</v>
      </c>
      <c r="AO70" s="114" t="s">
        <v>76</v>
      </c>
      <c r="AP70" s="114" t="s">
        <v>75</v>
      </c>
      <c r="AQ70" s="114" t="s">
        <v>79</v>
      </c>
      <c r="AR70" s="114" t="s">
        <v>79</v>
      </c>
      <c r="AS70" s="114" t="s">
        <v>76</v>
      </c>
      <c r="AT70" s="114" t="s">
        <v>77</v>
      </c>
      <c r="AU70" s="114" t="s">
        <v>77</v>
      </c>
      <c r="AV70" s="114" t="s">
        <v>79</v>
      </c>
      <c r="AW70" s="114" t="s">
        <v>76</v>
      </c>
      <c r="AX70" s="117">
        <f t="shared" ref="AX70:BL70" si="127">COLUMN(INDIRECT(AI70&amp;1))</f>
        <v>5</v>
      </c>
      <c r="AY70" s="117">
        <f t="shared" si="127"/>
        <v>1</v>
      </c>
      <c r="AZ70" s="117">
        <f t="shared" si="127"/>
        <v>5</v>
      </c>
      <c r="BA70" s="117">
        <f t="shared" si="127"/>
        <v>3</v>
      </c>
      <c r="BB70" s="117">
        <f t="shared" si="127"/>
        <v>1</v>
      </c>
      <c r="BC70" s="117">
        <f t="shared" si="127"/>
        <v>5</v>
      </c>
      <c r="BD70" s="117">
        <f t="shared" si="127"/>
        <v>5</v>
      </c>
      <c r="BE70" s="117">
        <f t="shared" si="127"/>
        <v>4</v>
      </c>
      <c r="BF70" s="117">
        <f t="shared" si="127"/>
        <v>2</v>
      </c>
      <c r="BG70" s="117">
        <f t="shared" si="127"/>
        <v>2</v>
      </c>
      <c r="BH70" s="117">
        <f t="shared" si="127"/>
        <v>5</v>
      </c>
      <c r="BI70" s="117">
        <f t="shared" si="127"/>
        <v>1</v>
      </c>
      <c r="BJ70" s="117">
        <f t="shared" si="127"/>
        <v>1</v>
      </c>
      <c r="BK70" s="117">
        <f t="shared" si="127"/>
        <v>2</v>
      </c>
      <c r="BL70" s="117">
        <f t="shared" si="127"/>
        <v>5</v>
      </c>
      <c r="BM70" s="117"/>
      <c r="BN70" s="11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117"/>
      <c r="BZ70" s="117"/>
      <c r="CA70" s="117"/>
      <c r="CB70" s="117"/>
      <c r="CC70" s="117"/>
      <c r="CD70" s="117"/>
      <c r="CE70" s="117"/>
    </row>
    <row r="71">
      <c r="A71" s="112" t="s">
        <v>40</v>
      </c>
      <c r="B71" s="113">
        <v>4.0</v>
      </c>
      <c r="C71" s="113">
        <v>1.0</v>
      </c>
      <c r="D71" s="114" t="s">
        <v>77</v>
      </c>
      <c r="E71" s="114" t="s">
        <v>77</v>
      </c>
      <c r="F71" s="114" t="s">
        <v>77</v>
      </c>
      <c r="G71" s="114" t="s">
        <v>77</v>
      </c>
      <c r="H71" s="114" t="s">
        <v>77</v>
      </c>
      <c r="I71" s="114" t="s">
        <v>77</v>
      </c>
      <c r="J71" s="114" t="s">
        <v>77</v>
      </c>
      <c r="K71" s="114" t="s">
        <v>77</v>
      </c>
      <c r="L71" s="114" t="s">
        <v>79</v>
      </c>
      <c r="M71" s="114" t="s">
        <v>78</v>
      </c>
      <c r="N71" s="114" t="s">
        <v>77</v>
      </c>
      <c r="O71" s="114" t="s">
        <v>78</v>
      </c>
      <c r="P71" s="114" t="s">
        <v>77</v>
      </c>
      <c r="Q71" s="114" t="s">
        <v>77</v>
      </c>
      <c r="R71" s="114" t="s">
        <v>78</v>
      </c>
      <c r="S71" s="115">
        <f t="shared" ref="S71:AG71" si="128">COLUMN(INDIRECT(D71&amp;4))</f>
        <v>1</v>
      </c>
      <c r="T71" s="115">
        <f t="shared" si="128"/>
        <v>1</v>
      </c>
      <c r="U71" s="115">
        <f t="shared" si="128"/>
        <v>1</v>
      </c>
      <c r="V71" s="115">
        <f t="shared" si="128"/>
        <v>1</v>
      </c>
      <c r="W71" s="115">
        <f t="shared" si="128"/>
        <v>1</v>
      </c>
      <c r="X71" s="115">
        <f t="shared" si="128"/>
        <v>1</v>
      </c>
      <c r="Y71" s="115">
        <f t="shared" si="128"/>
        <v>1</v>
      </c>
      <c r="Z71" s="115">
        <f t="shared" si="128"/>
        <v>1</v>
      </c>
      <c r="AA71" s="115">
        <f t="shared" si="128"/>
        <v>2</v>
      </c>
      <c r="AB71" s="115">
        <f t="shared" si="128"/>
        <v>3</v>
      </c>
      <c r="AC71" s="115">
        <f t="shared" si="128"/>
        <v>1</v>
      </c>
      <c r="AD71" s="115">
        <f t="shared" si="128"/>
        <v>3</v>
      </c>
      <c r="AE71" s="115">
        <f t="shared" si="128"/>
        <v>1</v>
      </c>
      <c r="AF71" s="115">
        <f t="shared" si="128"/>
        <v>1</v>
      </c>
      <c r="AG71" s="115">
        <f t="shared" si="128"/>
        <v>3</v>
      </c>
      <c r="AH71" s="116">
        <v>2.0</v>
      </c>
      <c r="AI71" s="114" t="s">
        <v>78</v>
      </c>
      <c r="AJ71" s="114" t="s">
        <v>75</v>
      </c>
      <c r="AK71" s="114" t="s">
        <v>78</v>
      </c>
      <c r="AL71" s="114" t="s">
        <v>78</v>
      </c>
      <c r="AM71" s="114" t="s">
        <v>78</v>
      </c>
      <c r="AN71" s="114" t="s">
        <v>75</v>
      </c>
      <c r="AO71" s="114" t="s">
        <v>75</v>
      </c>
      <c r="AP71" s="114" t="s">
        <v>77</v>
      </c>
      <c r="AQ71" s="114" t="s">
        <v>79</v>
      </c>
      <c r="AR71" s="114" t="s">
        <v>78</v>
      </c>
      <c r="AS71" s="114" t="s">
        <v>75</v>
      </c>
      <c r="AT71" s="114" t="s">
        <v>79</v>
      </c>
      <c r="AU71" s="114" t="s">
        <v>77</v>
      </c>
      <c r="AV71" s="114" t="s">
        <v>79</v>
      </c>
      <c r="AW71" s="114" t="s">
        <v>79</v>
      </c>
      <c r="AX71" s="117">
        <f t="shared" ref="AX71:BL71" si="129">COLUMN(INDIRECT(AI71&amp;1))</f>
        <v>3</v>
      </c>
      <c r="AY71" s="117">
        <f t="shared" si="129"/>
        <v>4</v>
      </c>
      <c r="AZ71" s="117">
        <f t="shared" si="129"/>
        <v>3</v>
      </c>
      <c r="BA71" s="117">
        <f t="shared" si="129"/>
        <v>3</v>
      </c>
      <c r="BB71" s="117">
        <f t="shared" si="129"/>
        <v>3</v>
      </c>
      <c r="BC71" s="117">
        <f t="shared" si="129"/>
        <v>4</v>
      </c>
      <c r="BD71" s="117">
        <f t="shared" si="129"/>
        <v>4</v>
      </c>
      <c r="BE71" s="117">
        <f t="shared" si="129"/>
        <v>1</v>
      </c>
      <c r="BF71" s="117">
        <f t="shared" si="129"/>
        <v>2</v>
      </c>
      <c r="BG71" s="117">
        <f t="shared" si="129"/>
        <v>3</v>
      </c>
      <c r="BH71" s="117">
        <f t="shared" si="129"/>
        <v>4</v>
      </c>
      <c r="BI71" s="117">
        <f t="shared" si="129"/>
        <v>2</v>
      </c>
      <c r="BJ71" s="117">
        <f t="shared" si="129"/>
        <v>1</v>
      </c>
      <c r="BK71" s="117">
        <f t="shared" si="129"/>
        <v>2</v>
      </c>
      <c r="BL71" s="117">
        <f t="shared" si="129"/>
        <v>2</v>
      </c>
      <c r="BM71" s="117"/>
      <c r="BN71" s="11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117"/>
      <c r="BZ71" s="117"/>
      <c r="CA71" s="117"/>
      <c r="CB71" s="117"/>
      <c r="CC71" s="117"/>
      <c r="CD71" s="117"/>
      <c r="CE71" s="117"/>
    </row>
    <row r="72">
      <c r="A72" s="112" t="s">
        <v>39</v>
      </c>
      <c r="B72" s="113">
        <v>4.0</v>
      </c>
      <c r="C72" s="113">
        <v>1.0</v>
      </c>
      <c r="D72" s="114" t="s">
        <v>75</v>
      </c>
      <c r="E72" s="114" t="s">
        <v>78</v>
      </c>
      <c r="F72" s="114" t="s">
        <v>75</v>
      </c>
      <c r="G72" s="114" t="s">
        <v>79</v>
      </c>
      <c r="H72" s="114" t="s">
        <v>78</v>
      </c>
      <c r="I72" s="114" t="s">
        <v>75</v>
      </c>
      <c r="J72" s="114" t="s">
        <v>78</v>
      </c>
      <c r="K72" s="114" t="s">
        <v>79</v>
      </c>
      <c r="L72" s="114" t="s">
        <v>75</v>
      </c>
      <c r="M72" s="114" t="s">
        <v>76</v>
      </c>
      <c r="N72" s="114" t="s">
        <v>79</v>
      </c>
      <c r="O72" s="114" t="s">
        <v>75</v>
      </c>
      <c r="P72" s="114" t="s">
        <v>79</v>
      </c>
      <c r="Q72" s="114" t="s">
        <v>77</v>
      </c>
      <c r="R72" s="114" t="s">
        <v>75</v>
      </c>
      <c r="S72" s="115">
        <f t="shared" ref="S72:AG72" si="130">COLUMN(INDIRECT(D72&amp;4))</f>
        <v>4</v>
      </c>
      <c r="T72" s="115">
        <f t="shared" si="130"/>
        <v>3</v>
      </c>
      <c r="U72" s="115">
        <f t="shared" si="130"/>
        <v>4</v>
      </c>
      <c r="V72" s="115">
        <f t="shared" si="130"/>
        <v>2</v>
      </c>
      <c r="W72" s="115">
        <f t="shared" si="130"/>
        <v>3</v>
      </c>
      <c r="X72" s="115">
        <f t="shared" si="130"/>
        <v>4</v>
      </c>
      <c r="Y72" s="115">
        <f t="shared" si="130"/>
        <v>3</v>
      </c>
      <c r="Z72" s="115">
        <f t="shared" si="130"/>
        <v>2</v>
      </c>
      <c r="AA72" s="115">
        <f t="shared" si="130"/>
        <v>4</v>
      </c>
      <c r="AB72" s="115">
        <f t="shared" si="130"/>
        <v>5</v>
      </c>
      <c r="AC72" s="115">
        <f t="shared" si="130"/>
        <v>2</v>
      </c>
      <c r="AD72" s="115">
        <f t="shared" si="130"/>
        <v>4</v>
      </c>
      <c r="AE72" s="115">
        <f t="shared" si="130"/>
        <v>2</v>
      </c>
      <c r="AF72" s="115">
        <f t="shared" si="130"/>
        <v>1</v>
      </c>
      <c r="AG72" s="115">
        <f t="shared" si="130"/>
        <v>4</v>
      </c>
      <c r="AH72" s="116">
        <v>2.0</v>
      </c>
      <c r="AI72" s="114" t="s">
        <v>75</v>
      </c>
      <c r="AJ72" s="114" t="s">
        <v>75</v>
      </c>
      <c r="AK72" s="114" t="s">
        <v>78</v>
      </c>
      <c r="AL72" s="114" t="s">
        <v>79</v>
      </c>
      <c r="AM72" s="114" t="s">
        <v>79</v>
      </c>
      <c r="AN72" s="114" t="s">
        <v>75</v>
      </c>
      <c r="AO72" s="114" t="s">
        <v>78</v>
      </c>
      <c r="AP72" s="114" t="s">
        <v>75</v>
      </c>
      <c r="AQ72" s="114" t="s">
        <v>78</v>
      </c>
      <c r="AR72" s="114" t="s">
        <v>79</v>
      </c>
      <c r="AS72" s="114" t="s">
        <v>75</v>
      </c>
      <c r="AT72" s="114" t="s">
        <v>78</v>
      </c>
      <c r="AU72" s="114" t="s">
        <v>77</v>
      </c>
      <c r="AV72" s="114" t="s">
        <v>79</v>
      </c>
      <c r="AW72" s="114" t="s">
        <v>75</v>
      </c>
      <c r="AX72" s="117">
        <f t="shared" ref="AX72:BL72" si="131">COLUMN(INDIRECT(AI72&amp;1))</f>
        <v>4</v>
      </c>
      <c r="AY72" s="117">
        <f t="shared" si="131"/>
        <v>4</v>
      </c>
      <c r="AZ72" s="117">
        <f t="shared" si="131"/>
        <v>3</v>
      </c>
      <c r="BA72" s="117">
        <f t="shared" si="131"/>
        <v>2</v>
      </c>
      <c r="BB72" s="117">
        <f t="shared" si="131"/>
        <v>2</v>
      </c>
      <c r="BC72" s="117">
        <f t="shared" si="131"/>
        <v>4</v>
      </c>
      <c r="BD72" s="117">
        <f t="shared" si="131"/>
        <v>3</v>
      </c>
      <c r="BE72" s="117">
        <f t="shared" si="131"/>
        <v>4</v>
      </c>
      <c r="BF72" s="117">
        <f t="shared" si="131"/>
        <v>3</v>
      </c>
      <c r="BG72" s="117">
        <f t="shared" si="131"/>
        <v>2</v>
      </c>
      <c r="BH72" s="117">
        <f t="shared" si="131"/>
        <v>4</v>
      </c>
      <c r="BI72" s="117">
        <f t="shared" si="131"/>
        <v>3</v>
      </c>
      <c r="BJ72" s="117">
        <f t="shared" si="131"/>
        <v>1</v>
      </c>
      <c r="BK72" s="117">
        <f t="shared" si="131"/>
        <v>2</v>
      </c>
      <c r="BL72" s="117">
        <f t="shared" si="131"/>
        <v>4</v>
      </c>
      <c r="BM72" s="117"/>
      <c r="BN72" s="11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117"/>
      <c r="BZ72" s="117"/>
      <c r="CA72" s="117"/>
      <c r="CB72" s="117"/>
      <c r="CC72" s="117"/>
      <c r="CD72" s="117"/>
      <c r="CE72" s="117"/>
    </row>
    <row r="73">
      <c r="A73" s="112" t="s">
        <v>41</v>
      </c>
      <c r="B73" s="113">
        <v>4.0</v>
      </c>
      <c r="C73" s="113">
        <v>1.0</v>
      </c>
      <c r="D73" s="114" t="s">
        <v>77</v>
      </c>
      <c r="E73" s="114" t="s">
        <v>77</v>
      </c>
      <c r="F73" s="114" t="s">
        <v>77</v>
      </c>
      <c r="G73" s="114" t="s">
        <v>76</v>
      </c>
      <c r="H73" s="114" t="s">
        <v>79</v>
      </c>
      <c r="I73" s="114" t="s">
        <v>79</v>
      </c>
      <c r="J73" s="114" t="s">
        <v>78</v>
      </c>
      <c r="K73" s="114" t="s">
        <v>77</v>
      </c>
      <c r="L73" s="114" t="s">
        <v>78</v>
      </c>
      <c r="M73" s="114" t="s">
        <v>76</v>
      </c>
      <c r="N73" s="114" t="s">
        <v>79</v>
      </c>
      <c r="O73" s="114" t="s">
        <v>78</v>
      </c>
      <c r="P73" s="114" t="s">
        <v>78</v>
      </c>
      <c r="Q73" s="114" t="s">
        <v>77</v>
      </c>
      <c r="R73" s="114" t="s">
        <v>76</v>
      </c>
      <c r="S73" s="115">
        <f t="shared" ref="S73:AG73" si="132">COLUMN(INDIRECT(D73&amp;4))</f>
        <v>1</v>
      </c>
      <c r="T73" s="115">
        <f t="shared" si="132"/>
        <v>1</v>
      </c>
      <c r="U73" s="115">
        <f t="shared" si="132"/>
        <v>1</v>
      </c>
      <c r="V73" s="115">
        <f t="shared" si="132"/>
        <v>5</v>
      </c>
      <c r="W73" s="115">
        <f t="shared" si="132"/>
        <v>2</v>
      </c>
      <c r="X73" s="115">
        <f t="shared" si="132"/>
        <v>2</v>
      </c>
      <c r="Y73" s="115">
        <f t="shared" si="132"/>
        <v>3</v>
      </c>
      <c r="Z73" s="115">
        <f t="shared" si="132"/>
        <v>1</v>
      </c>
      <c r="AA73" s="115">
        <f t="shared" si="132"/>
        <v>3</v>
      </c>
      <c r="AB73" s="115">
        <f t="shared" si="132"/>
        <v>5</v>
      </c>
      <c r="AC73" s="115">
        <f t="shared" si="132"/>
        <v>2</v>
      </c>
      <c r="AD73" s="115">
        <f t="shared" si="132"/>
        <v>3</v>
      </c>
      <c r="AE73" s="115">
        <f t="shared" si="132"/>
        <v>3</v>
      </c>
      <c r="AF73" s="115">
        <f t="shared" si="132"/>
        <v>1</v>
      </c>
      <c r="AG73" s="115">
        <f t="shared" si="132"/>
        <v>5</v>
      </c>
      <c r="AH73" s="116">
        <v>2.0</v>
      </c>
      <c r="AI73" s="114" t="s">
        <v>75</v>
      </c>
      <c r="AJ73" s="114" t="s">
        <v>78</v>
      </c>
      <c r="AK73" s="114" t="s">
        <v>78</v>
      </c>
      <c r="AL73" s="114" t="s">
        <v>79</v>
      </c>
      <c r="AM73" s="114" t="s">
        <v>77</v>
      </c>
      <c r="AN73" s="114" t="s">
        <v>75</v>
      </c>
      <c r="AO73" s="114" t="s">
        <v>76</v>
      </c>
      <c r="AP73" s="114" t="s">
        <v>79</v>
      </c>
      <c r="AQ73" s="114" t="s">
        <v>77</v>
      </c>
      <c r="AR73" s="114" t="s">
        <v>79</v>
      </c>
      <c r="AS73" s="114" t="s">
        <v>75</v>
      </c>
      <c r="AT73" s="114" t="s">
        <v>79</v>
      </c>
      <c r="AU73" s="114" t="s">
        <v>79</v>
      </c>
      <c r="AV73" s="114" t="s">
        <v>78</v>
      </c>
      <c r="AW73" s="114" t="s">
        <v>78</v>
      </c>
      <c r="AX73" s="117">
        <f t="shared" ref="AX73:BL73" si="133">COLUMN(INDIRECT(AI73&amp;1))</f>
        <v>4</v>
      </c>
      <c r="AY73" s="117">
        <f t="shared" si="133"/>
        <v>3</v>
      </c>
      <c r="AZ73" s="117">
        <f t="shared" si="133"/>
        <v>3</v>
      </c>
      <c r="BA73" s="117">
        <f t="shared" si="133"/>
        <v>2</v>
      </c>
      <c r="BB73" s="117">
        <f t="shared" si="133"/>
        <v>1</v>
      </c>
      <c r="BC73" s="117">
        <f t="shared" si="133"/>
        <v>4</v>
      </c>
      <c r="BD73" s="117">
        <f t="shared" si="133"/>
        <v>5</v>
      </c>
      <c r="BE73" s="117">
        <f t="shared" si="133"/>
        <v>2</v>
      </c>
      <c r="BF73" s="117">
        <f t="shared" si="133"/>
        <v>1</v>
      </c>
      <c r="BG73" s="117">
        <f t="shared" si="133"/>
        <v>2</v>
      </c>
      <c r="BH73" s="117">
        <f t="shared" si="133"/>
        <v>4</v>
      </c>
      <c r="BI73" s="117">
        <f t="shared" si="133"/>
        <v>2</v>
      </c>
      <c r="BJ73" s="117">
        <f t="shared" si="133"/>
        <v>2</v>
      </c>
      <c r="BK73" s="117">
        <f t="shared" si="133"/>
        <v>3</v>
      </c>
      <c r="BL73" s="117">
        <f t="shared" si="133"/>
        <v>3</v>
      </c>
      <c r="BM73" s="117"/>
      <c r="BN73" s="11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117"/>
      <c r="BZ73" s="117"/>
      <c r="CA73" s="117"/>
      <c r="CB73" s="117"/>
      <c r="CC73" s="117"/>
      <c r="CD73" s="117"/>
      <c r="CE73" s="117"/>
    </row>
    <row r="74">
      <c r="A74" s="112" t="s">
        <v>42</v>
      </c>
      <c r="B74" s="113">
        <v>4.0</v>
      </c>
      <c r="C74" s="113">
        <v>1.0</v>
      </c>
      <c r="D74" s="114" t="s">
        <v>79</v>
      </c>
      <c r="E74" s="114" t="s">
        <v>75</v>
      </c>
      <c r="F74" s="114" t="s">
        <v>77</v>
      </c>
      <c r="G74" s="114" t="s">
        <v>79</v>
      </c>
      <c r="H74" s="114" t="s">
        <v>77</v>
      </c>
      <c r="I74" s="114" t="s">
        <v>78</v>
      </c>
      <c r="J74" s="114" t="s">
        <v>79</v>
      </c>
      <c r="K74" s="114" t="s">
        <v>77</v>
      </c>
      <c r="L74" s="114" t="s">
        <v>78</v>
      </c>
      <c r="M74" s="114" t="s">
        <v>76</v>
      </c>
      <c r="N74" s="114" t="s">
        <v>79</v>
      </c>
      <c r="O74" s="114" t="s">
        <v>75</v>
      </c>
      <c r="P74" s="114" t="s">
        <v>77</v>
      </c>
      <c r="Q74" s="114" t="s">
        <v>79</v>
      </c>
      <c r="R74" s="114" t="s">
        <v>76</v>
      </c>
      <c r="S74" s="115">
        <f t="shared" ref="S74:AG74" si="134">COLUMN(INDIRECT(D74&amp;4))</f>
        <v>2</v>
      </c>
      <c r="T74" s="115">
        <f t="shared" si="134"/>
        <v>4</v>
      </c>
      <c r="U74" s="115">
        <f t="shared" si="134"/>
        <v>1</v>
      </c>
      <c r="V74" s="115">
        <f t="shared" si="134"/>
        <v>2</v>
      </c>
      <c r="W74" s="115">
        <f t="shared" si="134"/>
        <v>1</v>
      </c>
      <c r="X74" s="115">
        <f t="shared" si="134"/>
        <v>3</v>
      </c>
      <c r="Y74" s="115">
        <f t="shared" si="134"/>
        <v>2</v>
      </c>
      <c r="Z74" s="115">
        <f t="shared" si="134"/>
        <v>1</v>
      </c>
      <c r="AA74" s="115">
        <f t="shared" si="134"/>
        <v>3</v>
      </c>
      <c r="AB74" s="115">
        <f t="shared" si="134"/>
        <v>5</v>
      </c>
      <c r="AC74" s="115">
        <f t="shared" si="134"/>
        <v>2</v>
      </c>
      <c r="AD74" s="115">
        <f t="shared" si="134"/>
        <v>4</v>
      </c>
      <c r="AE74" s="115">
        <f t="shared" si="134"/>
        <v>1</v>
      </c>
      <c r="AF74" s="115">
        <f t="shared" si="134"/>
        <v>2</v>
      </c>
      <c r="AG74" s="115">
        <f t="shared" si="134"/>
        <v>5</v>
      </c>
      <c r="AH74" s="116">
        <v>2.0</v>
      </c>
      <c r="AI74" s="114" t="s">
        <v>76</v>
      </c>
      <c r="AJ74" s="114" t="s">
        <v>75</v>
      </c>
      <c r="AK74" s="114" t="s">
        <v>76</v>
      </c>
      <c r="AL74" s="114" t="s">
        <v>78</v>
      </c>
      <c r="AM74" s="114" t="s">
        <v>78</v>
      </c>
      <c r="AN74" s="114" t="s">
        <v>76</v>
      </c>
      <c r="AO74" s="114" t="s">
        <v>75</v>
      </c>
      <c r="AP74" s="114" t="s">
        <v>79</v>
      </c>
      <c r="AQ74" s="114" t="s">
        <v>77</v>
      </c>
      <c r="AR74" s="114" t="s">
        <v>78</v>
      </c>
      <c r="AS74" s="114" t="s">
        <v>75</v>
      </c>
      <c r="AT74" s="114" t="s">
        <v>77</v>
      </c>
      <c r="AU74" s="114" t="s">
        <v>79</v>
      </c>
      <c r="AV74" s="114" t="s">
        <v>79</v>
      </c>
      <c r="AW74" s="114" t="s">
        <v>76</v>
      </c>
      <c r="AX74" s="117">
        <f t="shared" ref="AX74:BL74" si="135">COLUMN(INDIRECT(AI74&amp;1))</f>
        <v>5</v>
      </c>
      <c r="AY74" s="117">
        <f t="shared" si="135"/>
        <v>4</v>
      </c>
      <c r="AZ74" s="117">
        <f t="shared" si="135"/>
        <v>5</v>
      </c>
      <c r="BA74" s="117">
        <f t="shared" si="135"/>
        <v>3</v>
      </c>
      <c r="BB74" s="117">
        <f t="shared" si="135"/>
        <v>3</v>
      </c>
      <c r="BC74" s="117">
        <f t="shared" si="135"/>
        <v>5</v>
      </c>
      <c r="BD74" s="117">
        <f t="shared" si="135"/>
        <v>4</v>
      </c>
      <c r="BE74" s="117">
        <f t="shared" si="135"/>
        <v>2</v>
      </c>
      <c r="BF74" s="117">
        <f t="shared" si="135"/>
        <v>1</v>
      </c>
      <c r="BG74" s="117">
        <f t="shared" si="135"/>
        <v>3</v>
      </c>
      <c r="BH74" s="117">
        <f t="shared" si="135"/>
        <v>4</v>
      </c>
      <c r="BI74" s="117">
        <f t="shared" si="135"/>
        <v>1</v>
      </c>
      <c r="BJ74" s="117">
        <f t="shared" si="135"/>
        <v>2</v>
      </c>
      <c r="BK74" s="117">
        <f t="shared" si="135"/>
        <v>2</v>
      </c>
      <c r="BL74" s="117">
        <f t="shared" si="135"/>
        <v>5</v>
      </c>
      <c r="BM74" s="117"/>
      <c r="BN74" s="11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117"/>
      <c r="BZ74" s="117"/>
      <c r="CA74" s="117"/>
      <c r="CB74" s="117"/>
      <c r="CC74" s="117"/>
      <c r="CD74" s="117"/>
      <c r="CE74" s="117"/>
    </row>
    <row r="75">
      <c r="A75" s="112" t="s">
        <v>43</v>
      </c>
      <c r="B75" s="113">
        <v>4.0</v>
      </c>
      <c r="C75" s="113">
        <v>1.0</v>
      </c>
      <c r="D75" s="114" t="s">
        <v>77</v>
      </c>
      <c r="E75" s="114" t="s">
        <v>77</v>
      </c>
      <c r="F75" s="114" t="s">
        <v>77</v>
      </c>
      <c r="G75" s="114" t="s">
        <v>78</v>
      </c>
      <c r="H75" s="114" t="s">
        <v>79</v>
      </c>
      <c r="I75" s="114" t="s">
        <v>75</v>
      </c>
      <c r="J75" s="114" t="s">
        <v>78</v>
      </c>
      <c r="K75" s="114" t="s">
        <v>77</v>
      </c>
      <c r="L75" s="114" t="s">
        <v>75</v>
      </c>
      <c r="M75" s="114" t="s">
        <v>76</v>
      </c>
      <c r="N75" s="114" t="s">
        <v>78</v>
      </c>
      <c r="O75" s="114" t="s">
        <v>79</v>
      </c>
      <c r="P75" s="114" t="s">
        <v>79</v>
      </c>
      <c r="Q75" s="114" t="s">
        <v>78</v>
      </c>
      <c r="R75" s="114" t="s">
        <v>76</v>
      </c>
      <c r="S75" s="115">
        <f t="shared" ref="S75:AG75" si="136">COLUMN(INDIRECT(D75&amp;4))</f>
        <v>1</v>
      </c>
      <c r="T75" s="115">
        <f t="shared" si="136"/>
        <v>1</v>
      </c>
      <c r="U75" s="115">
        <f t="shared" si="136"/>
        <v>1</v>
      </c>
      <c r="V75" s="115">
        <f t="shared" si="136"/>
        <v>3</v>
      </c>
      <c r="W75" s="115">
        <f t="shared" si="136"/>
        <v>2</v>
      </c>
      <c r="X75" s="115">
        <f t="shared" si="136"/>
        <v>4</v>
      </c>
      <c r="Y75" s="115">
        <f t="shared" si="136"/>
        <v>3</v>
      </c>
      <c r="Z75" s="115">
        <f t="shared" si="136"/>
        <v>1</v>
      </c>
      <c r="AA75" s="115">
        <f t="shared" si="136"/>
        <v>4</v>
      </c>
      <c r="AB75" s="115">
        <f t="shared" si="136"/>
        <v>5</v>
      </c>
      <c r="AC75" s="115">
        <f t="shared" si="136"/>
        <v>3</v>
      </c>
      <c r="AD75" s="115">
        <f t="shared" si="136"/>
        <v>2</v>
      </c>
      <c r="AE75" s="115">
        <f t="shared" si="136"/>
        <v>2</v>
      </c>
      <c r="AF75" s="115">
        <f t="shared" si="136"/>
        <v>3</v>
      </c>
      <c r="AG75" s="115">
        <f t="shared" si="136"/>
        <v>5</v>
      </c>
      <c r="AH75" s="116">
        <v>2.0</v>
      </c>
      <c r="AI75" s="114" t="s">
        <v>76</v>
      </c>
      <c r="AJ75" s="114" t="s">
        <v>75</v>
      </c>
      <c r="AK75" s="114" t="s">
        <v>75</v>
      </c>
      <c r="AL75" s="114" t="s">
        <v>77</v>
      </c>
      <c r="AM75" s="114" t="s">
        <v>78</v>
      </c>
      <c r="AN75" s="114" t="s">
        <v>76</v>
      </c>
      <c r="AO75" s="114" t="s">
        <v>76</v>
      </c>
      <c r="AP75" s="114" t="s">
        <v>77</v>
      </c>
      <c r="AQ75" s="114" t="s">
        <v>77</v>
      </c>
      <c r="AR75" s="114" t="s">
        <v>79</v>
      </c>
      <c r="AS75" s="114" t="s">
        <v>78</v>
      </c>
      <c r="AT75" s="114" t="s">
        <v>77</v>
      </c>
      <c r="AU75" s="114" t="s">
        <v>77</v>
      </c>
      <c r="AV75" s="114" t="s">
        <v>78</v>
      </c>
      <c r="AW75" s="114" t="s">
        <v>75</v>
      </c>
      <c r="AX75" s="117">
        <f t="shared" ref="AX75:BL75" si="137">COLUMN(INDIRECT(AI75&amp;1))</f>
        <v>5</v>
      </c>
      <c r="AY75" s="117">
        <f t="shared" si="137"/>
        <v>4</v>
      </c>
      <c r="AZ75" s="117">
        <f t="shared" si="137"/>
        <v>4</v>
      </c>
      <c r="BA75" s="117">
        <f t="shared" si="137"/>
        <v>1</v>
      </c>
      <c r="BB75" s="117">
        <f t="shared" si="137"/>
        <v>3</v>
      </c>
      <c r="BC75" s="117">
        <f t="shared" si="137"/>
        <v>5</v>
      </c>
      <c r="BD75" s="117">
        <f t="shared" si="137"/>
        <v>5</v>
      </c>
      <c r="BE75" s="117">
        <f t="shared" si="137"/>
        <v>1</v>
      </c>
      <c r="BF75" s="117">
        <f t="shared" si="137"/>
        <v>1</v>
      </c>
      <c r="BG75" s="117">
        <f t="shared" si="137"/>
        <v>2</v>
      </c>
      <c r="BH75" s="117">
        <f t="shared" si="137"/>
        <v>3</v>
      </c>
      <c r="BI75" s="117">
        <f t="shared" si="137"/>
        <v>1</v>
      </c>
      <c r="BJ75" s="117">
        <f t="shared" si="137"/>
        <v>1</v>
      </c>
      <c r="BK75" s="117">
        <f t="shared" si="137"/>
        <v>3</v>
      </c>
      <c r="BL75" s="117">
        <f t="shared" si="137"/>
        <v>4</v>
      </c>
      <c r="BM75" s="117"/>
      <c r="BN75" s="11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117"/>
      <c r="BZ75" s="117"/>
      <c r="CA75" s="117"/>
      <c r="CB75" s="117"/>
      <c r="CC75" s="117"/>
      <c r="CD75" s="117"/>
      <c r="CE75" s="117"/>
    </row>
    <row r="76">
      <c r="A76" s="120" t="s">
        <v>146</v>
      </c>
      <c r="B76" s="121">
        <v>4.0</v>
      </c>
      <c r="C76" s="121" t="s">
        <v>96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3">
        <f t="shared" ref="S76:AG76" si="138">SUM(S64:S75)/12</f>
        <v>1.5</v>
      </c>
      <c r="T76" s="123">
        <f t="shared" si="138"/>
        <v>2.333333333</v>
      </c>
      <c r="U76" s="123">
        <f t="shared" si="138"/>
        <v>1.916666667</v>
      </c>
      <c r="V76" s="123">
        <f t="shared" si="138"/>
        <v>3.333333333</v>
      </c>
      <c r="W76" s="123">
        <f t="shared" si="138"/>
        <v>1.833333333</v>
      </c>
      <c r="X76" s="123">
        <f t="shared" si="138"/>
        <v>3</v>
      </c>
      <c r="Y76" s="123">
        <f t="shared" si="138"/>
        <v>1.916666667</v>
      </c>
      <c r="Z76" s="123">
        <f t="shared" si="138"/>
        <v>1.916666667</v>
      </c>
      <c r="AA76" s="123">
        <f t="shared" si="138"/>
        <v>3.666666667</v>
      </c>
      <c r="AB76" s="123">
        <f t="shared" si="138"/>
        <v>4.833333333</v>
      </c>
      <c r="AC76" s="123">
        <f t="shared" si="138"/>
        <v>2.5</v>
      </c>
      <c r="AD76" s="123">
        <f t="shared" si="138"/>
        <v>3.083333333</v>
      </c>
      <c r="AE76" s="123">
        <f t="shared" si="138"/>
        <v>1.75</v>
      </c>
      <c r="AF76" s="123">
        <f t="shared" si="138"/>
        <v>1.75</v>
      </c>
      <c r="AG76" s="123">
        <f t="shared" si="138"/>
        <v>4.5</v>
      </c>
      <c r="AH76" s="124" t="s">
        <v>96</v>
      </c>
      <c r="AI76" s="123">
        <f t="shared" ref="AI76:BL76" si="139">SUM(AI64:AI75)/12</f>
        <v>0</v>
      </c>
      <c r="AJ76" s="123">
        <f t="shared" si="139"/>
        <v>0</v>
      </c>
      <c r="AK76" s="123">
        <f t="shared" si="139"/>
        <v>0</v>
      </c>
      <c r="AL76" s="123">
        <f t="shared" si="139"/>
        <v>0</v>
      </c>
      <c r="AM76" s="123">
        <f t="shared" si="139"/>
        <v>0</v>
      </c>
      <c r="AN76" s="123">
        <f t="shared" si="139"/>
        <v>0</v>
      </c>
      <c r="AO76" s="123">
        <f t="shared" si="139"/>
        <v>0</v>
      </c>
      <c r="AP76" s="123">
        <f t="shared" si="139"/>
        <v>0</v>
      </c>
      <c r="AQ76" s="123">
        <f t="shared" si="139"/>
        <v>0</v>
      </c>
      <c r="AR76" s="123">
        <f t="shared" si="139"/>
        <v>0</v>
      </c>
      <c r="AS76" s="123">
        <f t="shared" si="139"/>
        <v>0</v>
      </c>
      <c r="AT76" s="123">
        <f t="shared" si="139"/>
        <v>0</v>
      </c>
      <c r="AU76" s="123">
        <f t="shared" si="139"/>
        <v>0</v>
      </c>
      <c r="AV76" s="123">
        <f t="shared" si="139"/>
        <v>0</v>
      </c>
      <c r="AW76" s="123">
        <f t="shared" si="139"/>
        <v>0</v>
      </c>
      <c r="AX76" s="123">
        <f t="shared" si="139"/>
        <v>4.333333333</v>
      </c>
      <c r="AY76" s="123">
        <f t="shared" si="139"/>
        <v>3.166666667</v>
      </c>
      <c r="AZ76" s="123">
        <f t="shared" si="139"/>
        <v>3.833333333</v>
      </c>
      <c r="BA76" s="123">
        <f t="shared" si="139"/>
        <v>2.166666667</v>
      </c>
      <c r="BB76" s="123">
        <f t="shared" si="139"/>
        <v>2.166666667</v>
      </c>
      <c r="BC76" s="123">
        <f t="shared" si="139"/>
        <v>4.583333333</v>
      </c>
      <c r="BD76" s="123">
        <f t="shared" si="139"/>
        <v>4.333333333</v>
      </c>
      <c r="BE76" s="123">
        <f t="shared" si="139"/>
        <v>1.916666667</v>
      </c>
      <c r="BF76" s="123">
        <f t="shared" si="139"/>
        <v>1.416666667</v>
      </c>
      <c r="BG76" s="123">
        <f t="shared" si="139"/>
        <v>2.583333333</v>
      </c>
      <c r="BH76" s="123">
        <f t="shared" si="139"/>
        <v>3.75</v>
      </c>
      <c r="BI76" s="123">
        <f t="shared" si="139"/>
        <v>1.666666667</v>
      </c>
      <c r="BJ76" s="123">
        <f t="shared" si="139"/>
        <v>1.5</v>
      </c>
      <c r="BK76" s="123">
        <f t="shared" si="139"/>
        <v>2.416666667</v>
      </c>
      <c r="BL76" s="123">
        <f t="shared" si="139"/>
        <v>3.833333333</v>
      </c>
      <c r="BM76" s="117"/>
      <c r="BN76" s="117"/>
      <c r="BO76" s="31">
        <v>4.0</v>
      </c>
      <c r="BP76" s="31">
        <v>3.0</v>
      </c>
      <c r="BQ76" s="31">
        <f t="shared" ref="BQ76:BR76" si="140">SUM(BX34+BX83+BX106)/3</f>
        <v>3.344444444</v>
      </c>
      <c r="BR76" s="31">
        <f t="shared" si="140"/>
        <v>2.422222222</v>
      </c>
      <c r="BS76" s="31">
        <f>SUM(BZ43+BZ96+BZ107)/3</f>
        <v>2.688888889</v>
      </c>
      <c r="BT76" s="31">
        <f>SUM(CA34+CA83+CA106)/3</f>
        <v>2.431111111</v>
      </c>
      <c r="BU76" s="31" t="str">
        <f>SUM(#REF!+#REF!+#REF!)/3</f>
        <v>#REF!</v>
      </c>
      <c r="BV76" s="31">
        <f>SUM(CB34+CB83+CB106)/3</f>
        <v>0</v>
      </c>
      <c r="BW76" s="31">
        <v>7.0</v>
      </c>
      <c r="BX76" s="31">
        <f>SUM(BK14+BF34+BC56+AC76+BK96)/5</f>
        <v>2.566666667</v>
      </c>
      <c r="BY76" s="117"/>
      <c r="BZ76" s="117"/>
      <c r="CA76" s="117"/>
      <c r="CB76" s="117"/>
      <c r="CC76" s="117"/>
      <c r="CD76" s="117"/>
      <c r="CE76" s="117"/>
    </row>
    <row r="77">
      <c r="A77" s="120" t="s">
        <v>140</v>
      </c>
      <c r="B77" s="121">
        <v>4.0</v>
      </c>
      <c r="C77" s="121">
        <v>2.0</v>
      </c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>
        <f t="shared" ref="S77:BL77" si="141">SUM(S64:S69)/6</f>
        <v>1.166666667</v>
      </c>
      <c r="T77" s="121">
        <f t="shared" si="141"/>
        <v>2.833333333</v>
      </c>
      <c r="U77" s="121">
        <f t="shared" si="141"/>
        <v>2.166666667</v>
      </c>
      <c r="V77" s="121">
        <f t="shared" si="141"/>
        <v>4</v>
      </c>
      <c r="W77" s="121">
        <f t="shared" si="141"/>
        <v>2</v>
      </c>
      <c r="X77" s="121">
        <f t="shared" si="141"/>
        <v>3.166666667</v>
      </c>
      <c r="Y77" s="121">
        <f t="shared" si="141"/>
        <v>1.666666667</v>
      </c>
      <c r="Z77" s="121">
        <f t="shared" si="141"/>
        <v>2.666666667</v>
      </c>
      <c r="AA77" s="121">
        <f t="shared" si="141"/>
        <v>4.166666667</v>
      </c>
      <c r="AB77" s="121">
        <f t="shared" si="141"/>
        <v>5</v>
      </c>
      <c r="AC77" s="121">
        <f t="shared" si="141"/>
        <v>3.166666667</v>
      </c>
      <c r="AD77" s="121">
        <f t="shared" si="141"/>
        <v>2.833333333</v>
      </c>
      <c r="AE77" s="121">
        <f t="shared" si="141"/>
        <v>1.833333333</v>
      </c>
      <c r="AF77" s="121">
        <f t="shared" si="141"/>
        <v>2</v>
      </c>
      <c r="AG77" s="121">
        <f t="shared" si="141"/>
        <v>4.5</v>
      </c>
      <c r="AH77" s="121">
        <f t="shared" si="141"/>
        <v>1</v>
      </c>
      <c r="AI77" s="121">
        <f t="shared" si="141"/>
        <v>0</v>
      </c>
      <c r="AJ77" s="121">
        <f t="shared" si="141"/>
        <v>0</v>
      </c>
      <c r="AK77" s="121">
        <f t="shared" si="141"/>
        <v>0</v>
      </c>
      <c r="AL77" s="121">
        <f t="shared" si="141"/>
        <v>0</v>
      </c>
      <c r="AM77" s="121">
        <f t="shared" si="141"/>
        <v>0</v>
      </c>
      <c r="AN77" s="121">
        <f t="shared" si="141"/>
        <v>0</v>
      </c>
      <c r="AO77" s="121">
        <f t="shared" si="141"/>
        <v>0</v>
      </c>
      <c r="AP77" s="121">
        <f t="shared" si="141"/>
        <v>0</v>
      </c>
      <c r="AQ77" s="121">
        <f t="shared" si="141"/>
        <v>0</v>
      </c>
      <c r="AR77" s="121">
        <f t="shared" si="141"/>
        <v>0</v>
      </c>
      <c r="AS77" s="121">
        <f t="shared" si="141"/>
        <v>0</v>
      </c>
      <c r="AT77" s="121">
        <f t="shared" si="141"/>
        <v>0</v>
      </c>
      <c r="AU77" s="121">
        <f t="shared" si="141"/>
        <v>0</v>
      </c>
      <c r="AV77" s="121">
        <f t="shared" si="141"/>
        <v>0</v>
      </c>
      <c r="AW77" s="121">
        <f t="shared" si="141"/>
        <v>0</v>
      </c>
      <c r="AX77" s="121">
        <f t="shared" si="141"/>
        <v>4.333333333</v>
      </c>
      <c r="AY77" s="121">
        <f t="shared" si="141"/>
        <v>3</v>
      </c>
      <c r="AZ77" s="121">
        <f t="shared" si="141"/>
        <v>3.833333333</v>
      </c>
      <c r="BA77" s="121">
        <f t="shared" si="141"/>
        <v>2</v>
      </c>
      <c r="BB77" s="121">
        <f t="shared" si="141"/>
        <v>2.166666667</v>
      </c>
      <c r="BC77" s="121">
        <f t="shared" si="141"/>
        <v>4.666666667</v>
      </c>
      <c r="BD77" s="121">
        <f t="shared" si="141"/>
        <v>4.333333333</v>
      </c>
      <c r="BE77" s="121">
        <f t="shared" si="141"/>
        <v>1.5</v>
      </c>
      <c r="BF77" s="121">
        <f t="shared" si="141"/>
        <v>1.166666667</v>
      </c>
      <c r="BG77" s="121">
        <f t="shared" si="141"/>
        <v>2.833333333</v>
      </c>
      <c r="BH77" s="121">
        <f t="shared" si="141"/>
        <v>3.5</v>
      </c>
      <c r="BI77" s="121">
        <f t="shared" si="141"/>
        <v>1.666666667</v>
      </c>
      <c r="BJ77" s="121">
        <f t="shared" si="141"/>
        <v>1.666666667</v>
      </c>
      <c r="BK77" s="121">
        <f t="shared" si="141"/>
        <v>2.5</v>
      </c>
      <c r="BL77" s="121">
        <f t="shared" si="141"/>
        <v>3.833333333</v>
      </c>
      <c r="BM77" s="47">
        <f>SUM(C77:AG77)+SUM(AX77:BL77)</f>
        <v>88.16666667</v>
      </c>
      <c r="BN77" s="47">
        <f>SUM(S77:AG77)+SUM(AX78:BL78)</f>
        <v>87.5</v>
      </c>
      <c r="BO77" s="31"/>
      <c r="BP77" s="31"/>
      <c r="BQ77" s="31"/>
      <c r="BR77" s="31"/>
      <c r="BS77" s="31"/>
      <c r="BT77" s="31"/>
      <c r="BU77" s="31"/>
      <c r="BV77" s="31"/>
      <c r="BW77" s="31">
        <v>7.0</v>
      </c>
      <c r="BX77" s="37"/>
      <c r="BY77" s="47">
        <f>SUM(BK15+BF41+BC57+AC77+BK97)/5</f>
        <v>2.766666667</v>
      </c>
      <c r="BZ77" s="47">
        <f>SUM(BK16+BF35+BC58+AC78+BK98)/5</f>
        <v>2.366666667</v>
      </c>
      <c r="CA77" s="47">
        <f>SUM(BK17+BF36+BC59+AC79+BK99)/5</f>
        <v>2.773333333</v>
      </c>
      <c r="CB77" s="92"/>
      <c r="CC77" s="117"/>
      <c r="CD77" s="117"/>
      <c r="CE77" s="117"/>
    </row>
    <row r="78">
      <c r="A78" s="120" t="s">
        <v>141</v>
      </c>
      <c r="B78" s="121">
        <v>4.0</v>
      </c>
      <c r="C78" s="121">
        <v>1.0</v>
      </c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>
        <f t="shared" ref="S78:BL78" si="142">SUM(S70:S75)/6</f>
        <v>1.833333333</v>
      </c>
      <c r="T78" s="121">
        <f t="shared" si="142"/>
        <v>1.833333333</v>
      </c>
      <c r="U78" s="121">
        <f t="shared" si="142"/>
        <v>1.666666667</v>
      </c>
      <c r="V78" s="121">
        <f t="shared" si="142"/>
        <v>2.666666667</v>
      </c>
      <c r="W78" s="121">
        <f t="shared" si="142"/>
        <v>1.666666667</v>
      </c>
      <c r="X78" s="121">
        <f t="shared" si="142"/>
        <v>2.833333333</v>
      </c>
      <c r="Y78" s="121">
        <f t="shared" si="142"/>
        <v>2.166666667</v>
      </c>
      <c r="Z78" s="121">
        <f t="shared" si="142"/>
        <v>1.166666667</v>
      </c>
      <c r="AA78" s="121">
        <f t="shared" si="142"/>
        <v>3.166666667</v>
      </c>
      <c r="AB78" s="121">
        <f t="shared" si="142"/>
        <v>4.666666667</v>
      </c>
      <c r="AC78" s="121">
        <f t="shared" si="142"/>
        <v>1.833333333</v>
      </c>
      <c r="AD78" s="121">
        <f t="shared" si="142"/>
        <v>3.333333333</v>
      </c>
      <c r="AE78" s="121">
        <f t="shared" si="142"/>
        <v>1.666666667</v>
      </c>
      <c r="AF78" s="121">
        <f t="shared" si="142"/>
        <v>1.5</v>
      </c>
      <c r="AG78" s="121">
        <f t="shared" si="142"/>
        <v>4.5</v>
      </c>
      <c r="AH78" s="121">
        <f t="shared" si="142"/>
        <v>2</v>
      </c>
      <c r="AI78" s="121">
        <f t="shared" si="142"/>
        <v>0</v>
      </c>
      <c r="AJ78" s="121">
        <f t="shared" si="142"/>
        <v>0</v>
      </c>
      <c r="AK78" s="121">
        <f t="shared" si="142"/>
        <v>0</v>
      </c>
      <c r="AL78" s="121">
        <f t="shared" si="142"/>
        <v>0</v>
      </c>
      <c r="AM78" s="121">
        <f t="shared" si="142"/>
        <v>0</v>
      </c>
      <c r="AN78" s="121">
        <f t="shared" si="142"/>
        <v>0</v>
      </c>
      <c r="AO78" s="121">
        <f t="shared" si="142"/>
        <v>0</v>
      </c>
      <c r="AP78" s="121">
        <f t="shared" si="142"/>
        <v>0</v>
      </c>
      <c r="AQ78" s="121">
        <f t="shared" si="142"/>
        <v>0</v>
      </c>
      <c r="AR78" s="121">
        <f t="shared" si="142"/>
        <v>0</v>
      </c>
      <c r="AS78" s="121">
        <f t="shared" si="142"/>
        <v>0</v>
      </c>
      <c r="AT78" s="121">
        <f t="shared" si="142"/>
        <v>0</v>
      </c>
      <c r="AU78" s="121">
        <f t="shared" si="142"/>
        <v>0</v>
      </c>
      <c r="AV78" s="121">
        <f t="shared" si="142"/>
        <v>0</v>
      </c>
      <c r="AW78" s="121">
        <f t="shared" si="142"/>
        <v>0</v>
      </c>
      <c r="AX78" s="121">
        <f t="shared" si="142"/>
        <v>4.333333333</v>
      </c>
      <c r="AY78" s="121">
        <f t="shared" si="142"/>
        <v>3.333333333</v>
      </c>
      <c r="AZ78" s="121">
        <f t="shared" si="142"/>
        <v>3.833333333</v>
      </c>
      <c r="BA78" s="121">
        <f t="shared" si="142"/>
        <v>2.333333333</v>
      </c>
      <c r="BB78" s="121">
        <f t="shared" si="142"/>
        <v>2.166666667</v>
      </c>
      <c r="BC78" s="121">
        <f t="shared" si="142"/>
        <v>4.5</v>
      </c>
      <c r="BD78" s="121">
        <f t="shared" si="142"/>
        <v>4.333333333</v>
      </c>
      <c r="BE78" s="121">
        <f t="shared" si="142"/>
        <v>2.333333333</v>
      </c>
      <c r="BF78" s="121">
        <f t="shared" si="142"/>
        <v>1.666666667</v>
      </c>
      <c r="BG78" s="121">
        <f t="shared" si="142"/>
        <v>2.333333333</v>
      </c>
      <c r="BH78" s="121">
        <f t="shared" si="142"/>
        <v>4</v>
      </c>
      <c r="BI78" s="121">
        <f t="shared" si="142"/>
        <v>1.666666667</v>
      </c>
      <c r="BJ78" s="121">
        <f t="shared" si="142"/>
        <v>1.333333333</v>
      </c>
      <c r="BK78" s="121">
        <f t="shared" si="142"/>
        <v>2.333333333</v>
      </c>
      <c r="BL78" s="121">
        <f t="shared" si="142"/>
        <v>3.833333333</v>
      </c>
      <c r="BM78" s="47">
        <f>SUM(S78:AG78)+SUM(AX78:BL78)</f>
        <v>80.83333333</v>
      </c>
      <c r="BN78" s="47">
        <f>SUM(S78:AG78)+SUM(AX77:BL77)</f>
        <v>79.5</v>
      </c>
      <c r="BO78" s="69"/>
      <c r="BP78" s="69"/>
      <c r="BQ78" s="69"/>
      <c r="BR78" s="69"/>
      <c r="BS78" s="69"/>
      <c r="BT78" s="69"/>
      <c r="BU78" s="69"/>
      <c r="BV78" s="69"/>
      <c r="BW78" s="69"/>
      <c r="BX78" s="37"/>
      <c r="BY78" s="47"/>
      <c r="BZ78" s="47"/>
      <c r="CA78" s="47"/>
      <c r="CB78" s="47"/>
      <c r="CC78" s="117"/>
      <c r="CD78" s="117"/>
      <c r="CE78" s="117"/>
    </row>
    <row r="79">
      <c r="A79" s="120" t="s">
        <v>142</v>
      </c>
      <c r="B79" s="121">
        <v>4.0</v>
      </c>
      <c r="C79" s="121">
        <v>2.0</v>
      </c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>
        <f>SUM(S64:S69)/6</f>
        <v>1.166666667</v>
      </c>
      <c r="T79" s="121">
        <f t="shared" ref="T79:BL79" si="143">SUM(T64:T68)/5</f>
        <v>2.8</v>
      </c>
      <c r="U79" s="121">
        <f t="shared" si="143"/>
        <v>1.8</v>
      </c>
      <c r="V79" s="121">
        <f t="shared" si="143"/>
        <v>3.8</v>
      </c>
      <c r="W79" s="121">
        <f t="shared" si="143"/>
        <v>1.6</v>
      </c>
      <c r="X79" s="121">
        <f t="shared" si="143"/>
        <v>2.8</v>
      </c>
      <c r="Y79" s="121">
        <f t="shared" si="143"/>
        <v>1.8</v>
      </c>
      <c r="Z79" s="121">
        <f t="shared" si="143"/>
        <v>2.4</v>
      </c>
      <c r="AA79" s="121">
        <f t="shared" si="143"/>
        <v>4</v>
      </c>
      <c r="AB79" s="121">
        <f t="shared" si="143"/>
        <v>5</v>
      </c>
      <c r="AC79" s="121">
        <f t="shared" si="143"/>
        <v>3.2</v>
      </c>
      <c r="AD79" s="121">
        <f t="shared" si="143"/>
        <v>2.6</v>
      </c>
      <c r="AE79" s="121">
        <f t="shared" si="143"/>
        <v>1.2</v>
      </c>
      <c r="AF79" s="121">
        <f t="shared" si="143"/>
        <v>1.8</v>
      </c>
      <c r="AG79" s="121">
        <f t="shared" si="143"/>
        <v>4.4</v>
      </c>
      <c r="AH79" s="121">
        <f t="shared" si="143"/>
        <v>1</v>
      </c>
      <c r="AI79" s="121">
        <f t="shared" si="143"/>
        <v>0</v>
      </c>
      <c r="AJ79" s="121">
        <f t="shared" si="143"/>
        <v>0</v>
      </c>
      <c r="AK79" s="121">
        <f t="shared" si="143"/>
        <v>0</v>
      </c>
      <c r="AL79" s="121">
        <f t="shared" si="143"/>
        <v>0</v>
      </c>
      <c r="AM79" s="121">
        <f t="shared" si="143"/>
        <v>0</v>
      </c>
      <c r="AN79" s="121">
        <f t="shared" si="143"/>
        <v>0</v>
      </c>
      <c r="AO79" s="121">
        <f t="shared" si="143"/>
        <v>0</v>
      </c>
      <c r="AP79" s="121">
        <f t="shared" si="143"/>
        <v>0</v>
      </c>
      <c r="AQ79" s="121">
        <f t="shared" si="143"/>
        <v>0</v>
      </c>
      <c r="AR79" s="121">
        <f t="shared" si="143"/>
        <v>0</v>
      </c>
      <c r="AS79" s="121">
        <f t="shared" si="143"/>
        <v>0</v>
      </c>
      <c r="AT79" s="121">
        <f t="shared" si="143"/>
        <v>0</v>
      </c>
      <c r="AU79" s="121">
        <f t="shared" si="143"/>
        <v>0</v>
      </c>
      <c r="AV79" s="121">
        <f t="shared" si="143"/>
        <v>0</v>
      </c>
      <c r="AW79" s="121">
        <f t="shared" si="143"/>
        <v>0</v>
      </c>
      <c r="AX79" s="121">
        <f t="shared" si="143"/>
        <v>4.2</v>
      </c>
      <c r="AY79" s="121">
        <f t="shared" si="143"/>
        <v>2.8</v>
      </c>
      <c r="AZ79" s="121">
        <f t="shared" si="143"/>
        <v>3.8</v>
      </c>
      <c r="BA79" s="121">
        <f t="shared" si="143"/>
        <v>1.8</v>
      </c>
      <c r="BB79" s="121">
        <f t="shared" si="143"/>
        <v>1.8</v>
      </c>
      <c r="BC79" s="121">
        <f t="shared" si="143"/>
        <v>4.6</v>
      </c>
      <c r="BD79" s="121">
        <f t="shared" si="143"/>
        <v>4.4</v>
      </c>
      <c r="BE79" s="121">
        <f t="shared" si="143"/>
        <v>1.4</v>
      </c>
      <c r="BF79" s="121">
        <f t="shared" si="143"/>
        <v>1.2</v>
      </c>
      <c r="BG79" s="121">
        <f t="shared" si="143"/>
        <v>2.8</v>
      </c>
      <c r="BH79" s="121">
        <f t="shared" si="143"/>
        <v>3.8</v>
      </c>
      <c r="BI79" s="121">
        <f t="shared" si="143"/>
        <v>1.8</v>
      </c>
      <c r="BJ79" s="121">
        <f t="shared" si="143"/>
        <v>1.6</v>
      </c>
      <c r="BK79" s="121">
        <f t="shared" si="143"/>
        <v>2.4</v>
      </c>
      <c r="BL79" s="121">
        <f t="shared" si="143"/>
        <v>4</v>
      </c>
      <c r="BM79" s="47">
        <f>SUM(C79:AG79)+SUM(AX79:BL79)</f>
        <v>84.76666667</v>
      </c>
      <c r="BN79" s="47">
        <f>SUM(S79:AG79)+SUM(AX80:BL80)</f>
        <v>84.86666667</v>
      </c>
      <c r="BO79" s="69"/>
      <c r="BP79" s="69"/>
      <c r="BQ79" s="69"/>
      <c r="BR79" s="69"/>
      <c r="BS79" s="69"/>
      <c r="BT79" s="69"/>
      <c r="BU79" s="69"/>
      <c r="BV79" s="69"/>
      <c r="BW79" s="69"/>
      <c r="BX79" s="37"/>
      <c r="BY79" s="47"/>
      <c r="BZ79" s="47"/>
      <c r="CA79" s="47"/>
      <c r="CB79" s="47"/>
      <c r="CC79" s="117"/>
      <c r="CD79" s="117"/>
      <c r="CE79" s="117"/>
    </row>
    <row r="80">
      <c r="A80" s="120" t="s">
        <v>143</v>
      </c>
      <c r="B80" s="121">
        <v>4.0</v>
      </c>
      <c r="C80" s="121">
        <v>1.0</v>
      </c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>
        <f t="shared" ref="S80:BL80" si="144">SUM(S72:S75)/4</f>
        <v>2</v>
      </c>
      <c r="T80" s="121">
        <f t="shared" si="144"/>
        <v>2.25</v>
      </c>
      <c r="U80" s="121">
        <f t="shared" si="144"/>
        <v>1.75</v>
      </c>
      <c r="V80" s="121">
        <f t="shared" si="144"/>
        <v>3</v>
      </c>
      <c r="W80" s="121">
        <f t="shared" si="144"/>
        <v>2</v>
      </c>
      <c r="X80" s="121">
        <f t="shared" si="144"/>
        <v>3.25</v>
      </c>
      <c r="Y80" s="121">
        <f t="shared" si="144"/>
        <v>2.75</v>
      </c>
      <c r="Z80" s="121">
        <f t="shared" si="144"/>
        <v>1.25</v>
      </c>
      <c r="AA80" s="121">
        <f t="shared" si="144"/>
        <v>3.5</v>
      </c>
      <c r="AB80" s="121">
        <f t="shared" si="144"/>
        <v>5</v>
      </c>
      <c r="AC80" s="121">
        <f t="shared" si="144"/>
        <v>2.25</v>
      </c>
      <c r="AD80" s="121">
        <f t="shared" si="144"/>
        <v>3.25</v>
      </c>
      <c r="AE80" s="121">
        <f t="shared" si="144"/>
        <v>2</v>
      </c>
      <c r="AF80" s="121">
        <f t="shared" si="144"/>
        <v>1.75</v>
      </c>
      <c r="AG80" s="121">
        <f t="shared" si="144"/>
        <v>4.75</v>
      </c>
      <c r="AH80" s="121">
        <f t="shared" si="144"/>
        <v>2</v>
      </c>
      <c r="AI80" s="121">
        <f t="shared" si="144"/>
        <v>0</v>
      </c>
      <c r="AJ80" s="121">
        <f t="shared" si="144"/>
        <v>0</v>
      </c>
      <c r="AK80" s="121">
        <f t="shared" si="144"/>
        <v>0</v>
      </c>
      <c r="AL80" s="121">
        <f t="shared" si="144"/>
        <v>0</v>
      </c>
      <c r="AM80" s="121">
        <f t="shared" si="144"/>
        <v>0</v>
      </c>
      <c r="AN80" s="121">
        <f t="shared" si="144"/>
        <v>0</v>
      </c>
      <c r="AO80" s="121">
        <f t="shared" si="144"/>
        <v>0</v>
      </c>
      <c r="AP80" s="121">
        <f t="shared" si="144"/>
        <v>0</v>
      </c>
      <c r="AQ80" s="121">
        <f t="shared" si="144"/>
        <v>0</v>
      </c>
      <c r="AR80" s="121">
        <f t="shared" si="144"/>
        <v>0</v>
      </c>
      <c r="AS80" s="121">
        <f t="shared" si="144"/>
        <v>0</v>
      </c>
      <c r="AT80" s="121">
        <f t="shared" si="144"/>
        <v>0</v>
      </c>
      <c r="AU80" s="121">
        <f t="shared" si="144"/>
        <v>0</v>
      </c>
      <c r="AV80" s="121">
        <f t="shared" si="144"/>
        <v>0</v>
      </c>
      <c r="AW80" s="121">
        <f t="shared" si="144"/>
        <v>0</v>
      </c>
      <c r="AX80" s="121">
        <f t="shared" si="144"/>
        <v>4.5</v>
      </c>
      <c r="AY80" s="121">
        <f t="shared" si="144"/>
        <v>3.75</v>
      </c>
      <c r="AZ80" s="121">
        <f t="shared" si="144"/>
        <v>3.75</v>
      </c>
      <c r="BA80" s="121">
        <f t="shared" si="144"/>
        <v>2</v>
      </c>
      <c r="BB80" s="121">
        <f t="shared" si="144"/>
        <v>2.25</v>
      </c>
      <c r="BC80" s="121">
        <f t="shared" si="144"/>
        <v>4.5</v>
      </c>
      <c r="BD80" s="121">
        <f t="shared" si="144"/>
        <v>4.25</v>
      </c>
      <c r="BE80" s="121">
        <f t="shared" si="144"/>
        <v>2.25</v>
      </c>
      <c r="BF80" s="121">
        <f t="shared" si="144"/>
        <v>1.5</v>
      </c>
      <c r="BG80" s="121">
        <f t="shared" si="144"/>
        <v>2.25</v>
      </c>
      <c r="BH80" s="121">
        <f t="shared" si="144"/>
        <v>3.75</v>
      </c>
      <c r="BI80" s="121">
        <f t="shared" si="144"/>
        <v>1.75</v>
      </c>
      <c r="BJ80" s="121">
        <f t="shared" si="144"/>
        <v>1.5</v>
      </c>
      <c r="BK80" s="121">
        <f t="shared" si="144"/>
        <v>2.5</v>
      </c>
      <c r="BL80" s="121">
        <f t="shared" si="144"/>
        <v>4</v>
      </c>
      <c r="BM80" s="47">
        <f>SUM(S80:AG80)+SUM(AX80:BL80)</f>
        <v>85.25</v>
      </c>
      <c r="BN80" s="47">
        <f>SUM(S80:AG80)+SUM(AX79:BL79)</f>
        <v>83.15</v>
      </c>
      <c r="BO80" s="69"/>
      <c r="BP80" s="69"/>
      <c r="BQ80" s="69"/>
      <c r="BR80" s="69"/>
      <c r="BS80" s="69"/>
      <c r="BT80" s="69"/>
      <c r="BU80" s="69"/>
      <c r="BV80" s="69"/>
      <c r="BW80" s="69"/>
      <c r="BX80" s="37"/>
      <c r="BY80" s="47"/>
      <c r="BZ80" s="47"/>
      <c r="CA80" s="47"/>
      <c r="CB80" s="47"/>
      <c r="CC80" s="117"/>
      <c r="CD80" s="117"/>
      <c r="CE80" s="117"/>
    </row>
    <row r="81">
      <c r="A81" s="120" t="s">
        <v>144</v>
      </c>
      <c r="B81" s="121">
        <v>1.0</v>
      </c>
      <c r="C81" s="121">
        <v>1.0</v>
      </c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>
        <f t="shared" ref="S81:BL81" si="145">SUM(S70:S71)/2</f>
        <v>1.5</v>
      </c>
      <c r="T81" s="121">
        <f t="shared" si="145"/>
        <v>1</v>
      </c>
      <c r="U81" s="121">
        <f t="shared" si="145"/>
        <v>1.5</v>
      </c>
      <c r="V81" s="121">
        <f t="shared" si="145"/>
        <v>2</v>
      </c>
      <c r="W81" s="121">
        <f t="shared" si="145"/>
        <v>1</v>
      </c>
      <c r="X81" s="121">
        <f t="shared" si="145"/>
        <v>2</v>
      </c>
      <c r="Y81" s="121">
        <f t="shared" si="145"/>
        <v>1</v>
      </c>
      <c r="Z81" s="121">
        <f t="shared" si="145"/>
        <v>1</v>
      </c>
      <c r="AA81" s="121">
        <f t="shared" si="145"/>
        <v>2.5</v>
      </c>
      <c r="AB81" s="121">
        <f t="shared" si="145"/>
        <v>4</v>
      </c>
      <c r="AC81" s="121">
        <f t="shared" si="145"/>
        <v>1</v>
      </c>
      <c r="AD81" s="121">
        <f t="shared" si="145"/>
        <v>3.5</v>
      </c>
      <c r="AE81" s="121">
        <f t="shared" si="145"/>
        <v>1</v>
      </c>
      <c r="AF81" s="121">
        <f t="shared" si="145"/>
        <v>1</v>
      </c>
      <c r="AG81" s="121">
        <f t="shared" si="145"/>
        <v>4</v>
      </c>
      <c r="AH81" s="121">
        <f t="shared" si="145"/>
        <v>2</v>
      </c>
      <c r="AI81" s="121">
        <f t="shared" si="145"/>
        <v>0</v>
      </c>
      <c r="AJ81" s="121">
        <f t="shared" si="145"/>
        <v>0</v>
      </c>
      <c r="AK81" s="121">
        <f t="shared" si="145"/>
        <v>0</v>
      </c>
      <c r="AL81" s="121">
        <f t="shared" si="145"/>
        <v>0</v>
      </c>
      <c r="AM81" s="121">
        <f t="shared" si="145"/>
        <v>0</v>
      </c>
      <c r="AN81" s="121">
        <f t="shared" si="145"/>
        <v>0</v>
      </c>
      <c r="AO81" s="121">
        <f t="shared" si="145"/>
        <v>0</v>
      </c>
      <c r="AP81" s="121">
        <f t="shared" si="145"/>
        <v>0</v>
      </c>
      <c r="AQ81" s="121">
        <f t="shared" si="145"/>
        <v>0</v>
      </c>
      <c r="AR81" s="121">
        <f t="shared" si="145"/>
        <v>0</v>
      </c>
      <c r="AS81" s="121">
        <f t="shared" si="145"/>
        <v>0</v>
      </c>
      <c r="AT81" s="121">
        <f t="shared" si="145"/>
        <v>0</v>
      </c>
      <c r="AU81" s="121">
        <f t="shared" si="145"/>
        <v>0</v>
      </c>
      <c r="AV81" s="121">
        <f t="shared" si="145"/>
        <v>0</v>
      </c>
      <c r="AW81" s="121">
        <f t="shared" si="145"/>
        <v>0</v>
      </c>
      <c r="AX81" s="121">
        <f t="shared" si="145"/>
        <v>4</v>
      </c>
      <c r="AY81" s="121">
        <f t="shared" si="145"/>
        <v>2.5</v>
      </c>
      <c r="AZ81" s="121">
        <f t="shared" si="145"/>
        <v>4</v>
      </c>
      <c r="BA81" s="121">
        <f t="shared" si="145"/>
        <v>3</v>
      </c>
      <c r="BB81" s="121">
        <f t="shared" si="145"/>
        <v>2</v>
      </c>
      <c r="BC81" s="121">
        <f t="shared" si="145"/>
        <v>4.5</v>
      </c>
      <c r="BD81" s="121">
        <f t="shared" si="145"/>
        <v>4.5</v>
      </c>
      <c r="BE81" s="121">
        <f t="shared" si="145"/>
        <v>2.5</v>
      </c>
      <c r="BF81" s="121">
        <f t="shared" si="145"/>
        <v>2</v>
      </c>
      <c r="BG81" s="121">
        <f t="shared" si="145"/>
        <v>2.5</v>
      </c>
      <c r="BH81" s="121">
        <f t="shared" si="145"/>
        <v>4.5</v>
      </c>
      <c r="BI81" s="121">
        <f t="shared" si="145"/>
        <v>1.5</v>
      </c>
      <c r="BJ81" s="121">
        <f t="shared" si="145"/>
        <v>1</v>
      </c>
      <c r="BK81" s="121">
        <f t="shared" si="145"/>
        <v>2</v>
      </c>
      <c r="BL81" s="121">
        <f t="shared" si="145"/>
        <v>3.5</v>
      </c>
      <c r="BM81" s="47">
        <v>0.9166666666666666</v>
      </c>
      <c r="BN81" s="37">
        <v>0.6666666666666666</v>
      </c>
      <c r="BO81" s="69"/>
      <c r="BP81" s="69"/>
      <c r="BQ81" s="69"/>
      <c r="BR81" s="69"/>
      <c r="BS81" s="69"/>
      <c r="BT81" s="69"/>
      <c r="BU81" s="69"/>
      <c r="BV81" s="69"/>
      <c r="BW81" s="69"/>
      <c r="BX81" s="37"/>
      <c r="BY81" s="37"/>
      <c r="BZ81" s="37"/>
      <c r="CA81" s="37"/>
      <c r="CB81" s="37"/>
      <c r="CC81" s="117"/>
      <c r="CD81" s="117"/>
      <c r="CE81" s="117"/>
    </row>
    <row r="82">
      <c r="A82" s="120" t="s">
        <v>80</v>
      </c>
      <c r="B82" s="121">
        <v>4.0</v>
      </c>
      <c r="C82" s="121" t="s">
        <v>96</v>
      </c>
      <c r="D82" s="120" t="s">
        <v>79</v>
      </c>
      <c r="E82" s="120" t="s">
        <v>75</v>
      </c>
      <c r="F82" s="120" t="s">
        <v>78</v>
      </c>
      <c r="G82" s="120" t="s">
        <v>76</v>
      </c>
      <c r="H82" s="120" t="s">
        <v>77</v>
      </c>
      <c r="I82" s="120" t="s">
        <v>75</v>
      </c>
      <c r="J82" s="120" t="s">
        <v>77</v>
      </c>
      <c r="K82" s="120" t="s">
        <v>78</v>
      </c>
      <c r="L82" s="120" t="s">
        <v>78</v>
      </c>
      <c r="M82" s="120" t="s">
        <v>76</v>
      </c>
      <c r="N82" s="120" t="s">
        <v>79</v>
      </c>
      <c r="O82" s="120" t="s">
        <v>78</v>
      </c>
      <c r="P82" s="120" t="s">
        <v>77</v>
      </c>
      <c r="Q82" s="120" t="s">
        <v>77</v>
      </c>
      <c r="R82" s="120" t="s">
        <v>75</v>
      </c>
      <c r="S82" s="121">
        <f t="shared" ref="S82:AG82" si="146">COLUMN(INDIRECT(D82&amp;4))</f>
        <v>2</v>
      </c>
      <c r="T82" s="121">
        <f t="shared" si="146"/>
        <v>4</v>
      </c>
      <c r="U82" s="121">
        <f t="shared" si="146"/>
        <v>3</v>
      </c>
      <c r="V82" s="121">
        <f t="shared" si="146"/>
        <v>5</v>
      </c>
      <c r="W82" s="121">
        <f t="shared" si="146"/>
        <v>1</v>
      </c>
      <c r="X82" s="121">
        <f t="shared" si="146"/>
        <v>4</v>
      </c>
      <c r="Y82" s="121">
        <f t="shared" si="146"/>
        <v>1</v>
      </c>
      <c r="Z82" s="121">
        <f t="shared" si="146"/>
        <v>3</v>
      </c>
      <c r="AA82" s="121">
        <f t="shared" si="146"/>
        <v>3</v>
      </c>
      <c r="AB82" s="121">
        <f t="shared" si="146"/>
        <v>5</v>
      </c>
      <c r="AC82" s="121">
        <f t="shared" si="146"/>
        <v>2</v>
      </c>
      <c r="AD82" s="121">
        <f t="shared" si="146"/>
        <v>3</v>
      </c>
      <c r="AE82" s="121">
        <f t="shared" si="146"/>
        <v>1</v>
      </c>
      <c r="AF82" s="121">
        <f t="shared" si="146"/>
        <v>1</v>
      </c>
      <c r="AG82" s="121">
        <f t="shared" si="146"/>
        <v>4</v>
      </c>
      <c r="AH82" s="125" t="s">
        <v>96</v>
      </c>
      <c r="AI82" s="120" t="s">
        <v>76</v>
      </c>
      <c r="AJ82" s="120" t="s">
        <v>78</v>
      </c>
      <c r="AK82" s="120" t="s">
        <v>75</v>
      </c>
      <c r="AL82" s="120" t="s">
        <v>79</v>
      </c>
      <c r="AM82" s="120" t="s">
        <v>79</v>
      </c>
      <c r="AN82" s="120" t="s">
        <v>75</v>
      </c>
      <c r="AO82" s="120" t="s">
        <v>76</v>
      </c>
      <c r="AP82" s="120" t="s">
        <v>79</v>
      </c>
      <c r="AQ82" s="120" t="s">
        <v>77</v>
      </c>
      <c r="AR82" s="120" t="s">
        <v>76</v>
      </c>
      <c r="AS82" s="120" t="s">
        <v>78</v>
      </c>
      <c r="AT82" s="120" t="s">
        <v>75</v>
      </c>
      <c r="AU82" s="120" t="s">
        <v>77</v>
      </c>
      <c r="AV82" s="120" t="s">
        <v>79</v>
      </c>
      <c r="AW82" s="120" t="s">
        <v>76</v>
      </c>
      <c r="AX82" s="59">
        <f t="shared" ref="AX82:BL82" si="147">COLUMN(INDIRECT(AI82&amp;1))</f>
        <v>5</v>
      </c>
      <c r="AY82" s="59">
        <f t="shared" si="147"/>
        <v>3</v>
      </c>
      <c r="AZ82" s="59">
        <f t="shared" si="147"/>
        <v>4</v>
      </c>
      <c r="BA82" s="59">
        <f t="shared" si="147"/>
        <v>2</v>
      </c>
      <c r="BB82" s="59">
        <f t="shared" si="147"/>
        <v>2</v>
      </c>
      <c r="BC82" s="59">
        <f t="shared" si="147"/>
        <v>4</v>
      </c>
      <c r="BD82" s="59">
        <f t="shared" si="147"/>
        <v>5</v>
      </c>
      <c r="BE82" s="59">
        <f t="shared" si="147"/>
        <v>2</v>
      </c>
      <c r="BF82" s="59">
        <f t="shared" si="147"/>
        <v>1</v>
      </c>
      <c r="BG82" s="59">
        <f t="shared" si="147"/>
        <v>5</v>
      </c>
      <c r="BH82" s="59">
        <f t="shared" si="147"/>
        <v>3</v>
      </c>
      <c r="BI82" s="59">
        <f t="shared" si="147"/>
        <v>4</v>
      </c>
      <c r="BJ82" s="59">
        <f t="shared" si="147"/>
        <v>1</v>
      </c>
      <c r="BK82" s="59">
        <f t="shared" si="147"/>
        <v>2</v>
      </c>
      <c r="BL82" s="59">
        <f t="shared" si="147"/>
        <v>5</v>
      </c>
      <c r="BM82" s="126">
        <v>48.0</v>
      </c>
      <c r="BN82" s="31">
        <v>42.0</v>
      </c>
      <c r="BO82" s="69"/>
      <c r="BP82" s="69"/>
      <c r="BQ82" s="69"/>
      <c r="BR82" s="69"/>
      <c r="BS82" s="69"/>
      <c r="BT82" s="69"/>
      <c r="BU82" s="69"/>
      <c r="BV82" s="69"/>
      <c r="BW82" s="69"/>
      <c r="BX82" s="31"/>
      <c r="BY82" s="31"/>
      <c r="BZ82" s="31"/>
      <c r="CA82" s="31"/>
      <c r="CB82" s="31"/>
      <c r="CC82" s="117"/>
      <c r="CD82" s="117"/>
      <c r="CE82" s="117"/>
    </row>
    <row r="83">
      <c r="A83" s="120" t="s">
        <v>97</v>
      </c>
      <c r="B83" s="121">
        <v>4.0</v>
      </c>
      <c r="C83" s="121" t="s">
        <v>96</v>
      </c>
      <c r="D83" s="120">
        <v>22.0</v>
      </c>
      <c r="E83" s="120">
        <v>24.0</v>
      </c>
      <c r="F83" s="120">
        <v>23.0</v>
      </c>
      <c r="G83" s="120">
        <v>30.0</v>
      </c>
      <c r="H83" s="120">
        <v>16.0</v>
      </c>
      <c r="I83" s="120">
        <v>29.0</v>
      </c>
      <c r="J83" s="120">
        <v>11.0</v>
      </c>
      <c r="K83" s="120">
        <v>18.0</v>
      </c>
      <c r="L83" s="120">
        <v>13.0</v>
      </c>
      <c r="M83" s="120">
        <v>10.0</v>
      </c>
      <c r="N83" s="120">
        <v>7.0</v>
      </c>
      <c r="O83" s="120">
        <v>28.0</v>
      </c>
      <c r="P83" s="120">
        <v>21.0</v>
      </c>
      <c r="Q83" s="120">
        <v>1.0</v>
      </c>
      <c r="R83" s="120">
        <v>9.0</v>
      </c>
      <c r="S83" s="121">
        <v>22.0</v>
      </c>
      <c r="T83" s="121">
        <v>24.0</v>
      </c>
      <c r="U83" s="121">
        <v>23.0</v>
      </c>
      <c r="V83" s="121">
        <v>30.0</v>
      </c>
      <c r="W83" s="121">
        <v>16.0</v>
      </c>
      <c r="X83" s="121">
        <v>29.0</v>
      </c>
      <c r="Y83" s="121">
        <v>11.0</v>
      </c>
      <c r="Z83" s="121">
        <v>18.0</v>
      </c>
      <c r="AA83" s="121">
        <v>13.0</v>
      </c>
      <c r="AB83" s="121">
        <v>10.0</v>
      </c>
      <c r="AC83" s="121">
        <v>7.0</v>
      </c>
      <c r="AD83" s="121">
        <v>28.0</v>
      </c>
      <c r="AE83" s="121">
        <v>21.0</v>
      </c>
      <c r="AF83" s="121">
        <v>1.0</v>
      </c>
      <c r="AG83" s="121">
        <v>9.0</v>
      </c>
      <c r="AH83" s="125" t="s">
        <v>96</v>
      </c>
      <c r="AI83" s="120">
        <v>15.0</v>
      </c>
      <c r="AJ83" s="120">
        <v>3.0</v>
      </c>
      <c r="AK83" s="120">
        <v>14.0</v>
      </c>
      <c r="AL83" s="120">
        <v>27.0</v>
      </c>
      <c r="AM83" s="120">
        <v>2.0</v>
      </c>
      <c r="AN83" s="120">
        <v>4.0</v>
      </c>
      <c r="AO83" s="120">
        <v>5.0</v>
      </c>
      <c r="AP83" s="120">
        <v>17.0</v>
      </c>
      <c r="AQ83" s="120">
        <v>26.0</v>
      </c>
      <c r="AR83" s="120">
        <v>20.0</v>
      </c>
      <c r="AS83" s="120">
        <v>8.0</v>
      </c>
      <c r="AT83" s="120">
        <v>19.0</v>
      </c>
      <c r="AU83" s="120">
        <v>6.0</v>
      </c>
      <c r="AV83" s="120">
        <v>12.0</v>
      </c>
      <c r="AW83" s="120">
        <v>25.0</v>
      </c>
      <c r="AX83" s="121">
        <v>15.0</v>
      </c>
      <c r="AY83" s="121">
        <v>3.0</v>
      </c>
      <c r="AZ83" s="121">
        <v>14.0</v>
      </c>
      <c r="BA83" s="121">
        <v>27.0</v>
      </c>
      <c r="BB83" s="121">
        <v>2.0</v>
      </c>
      <c r="BC83" s="121">
        <v>4.0</v>
      </c>
      <c r="BD83" s="121">
        <v>5.0</v>
      </c>
      <c r="BE83" s="121">
        <v>17.0</v>
      </c>
      <c r="BF83" s="121">
        <v>26.0</v>
      </c>
      <c r="BG83" s="121">
        <v>20.0</v>
      </c>
      <c r="BH83" s="121">
        <v>8.0</v>
      </c>
      <c r="BI83" s="121">
        <v>19.0</v>
      </c>
      <c r="BJ83" s="121">
        <v>6.0</v>
      </c>
      <c r="BK83" s="121">
        <v>12.0</v>
      </c>
      <c r="BL83" s="121">
        <v>25.0</v>
      </c>
      <c r="BM83" s="121">
        <f>SUM(S81:AG81)+SUM(AX81:BL81)</f>
        <v>72</v>
      </c>
      <c r="BN83" s="127">
        <f>SUM(S80:AG80)+SUM(AX80:BL80)</f>
        <v>85.25</v>
      </c>
      <c r="BO83" s="31">
        <v>6.0</v>
      </c>
      <c r="BP83" s="31">
        <v>4.0</v>
      </c>
      <c r="BQ83" s="31">
        <f t="shared" ref="BQ83:BT83" si="148">SUM(BX43+BX96+BX107)/3</f>
        <v>4.188888889</v>
      </c>
      <c r="BR83" s="31">
        <f t="shared" si="148"/>
        <v>2.877777778</v>
      </c>
      <c r="BS83" s="31">
        <f t="shared" si="148"/>
        <v>2.688888889</v>
      </c>
      <c r="BT83" s="31">
        <f t="shared" si="148"/>
        <v>2.591111111</v>
      </c>
      <c r="BU83" s="31" t="str">
        <f>SUM(#REF!+#REF!+#REF!)/3</f>
        <v>#REF!</v>
      </c>
      <c r="BV83" s="31">
        <f>SUM(CB43+CB96+CB107)/3</f>
        <v>0</v>
      </c>
      <c r="BW83" s="31">
        <v>8.0</v>
      </c>
      <c r="BX83" s="89">
        <f>SUM(V14+BL34+BF56+BH76+V96)/5</f>
        <v>3.433333333</v>
      </c>
      <c r="BY83" s="121">
        <f>SUM(V15+BL41+BF57+BH77+V97)/5</f>
        <v>3.5</v>
      </c>
      <c r="BZ83" s="121">
        <f>SUM(V16+BL35+BF58+BH78+V98)/5</f>
        <v>3.366666667</v>
      </c>
      <c r="CA83" s="121">
        <f>SUM(V17+BL36+BF59+BH79+V99)/5</f>
        <v>3.56</v>
      </c>
      <c r="CB83" s="8"/>
      <c r="CC83" s="121"/>
      <c r="CD83" s="121"/>
      <c r="CE83" s="121"/>
    </row>
    <row r="84">
      <c r="A84" s="128" t="s">
        <v>82</v>
      </c>
      <c r="B84" s="129">
        <v>5.0</v>
      </c>
      <c r="C84" s="129">
        <v>2.0</v>
      </c>
      <c r="D84" s="130" t="s">
        <v>76</v>
      </c>
      <c r="E84" s="130" t="s">
        <v>76</v>
      </c>
      <c r="F84" s="130" t="s">
        <v>77</v>
      </c>
      <c r="G84" s="130" t="s">
        <v>79</v>
      </c>
      <c r="H84" s="130" t="s">
        <v>78</v>
      </c>
      <c r="I84" s="130" t="s">
        <v>79</v>
      </c>
      <c r="J84" s="130" t="s">
        <v>77</v>
      </c>
      <c r="K84" s="130" t="s">
        <v>78</v>
      </c>
      <c r="L84" s="130" t="s">
        <v>75</v>
      </c>
      <c r="M84" s="130" t="s">
        <v>77</v>
      </c>
      <c r="N84" s="130" t="s">
        <v>76</v>
      </c>
      <c r="O84" s="130" t="s">
        <v>75</v>
      </c>
      <c r="P84" s="130" t="s">
        <v>78</v>
      </c>
      <c r="Q84" s="130" t="s">
        <v>79</v>
      </c>
      <c r="R84" s="130" t="s">
        <v>76</v>
      </c>
      <c r="S84" s="131">
        <f t="shared" ref="S84:AG84" si="149">COLUMN(INDIRECT(D84&amp;4))</f>
        <v>5</v>
      </c>
      <c r="T84" s="131">
        <f t="shared" si="149"/>
        <v>5</v>
      </c>
      <c r="U84" s="131">
        <f t="shared" si="149"/>
        <v>1</v>
      </c>
      <c r="V84" s="131">
        <f t="shared" si="149"/>
        <v>2</v>
      </c>
      <c r="W84" s="131">
        <f t="shared" si="149"/>
        <v>3</v>
      </c>
      <c r="X84" s="131">
        <f t="shared" si="149"/>
        <v>2</v>
      </c>
      <c r="Y84" s="131">
        <f t="shared" si="149"/>
        <v>1</v>
      </c>
      <c r="Z84" s="131">
        <f t="shared" si="149"/>
        <v>3</v>
      </c>
      <c r="AA84" s="131">
        <f t="shared" si="149"/>
        <v>4</v>
      </c>
      <c r="AB84" s="131">
        <f t="shared" si="149"/>
        <v>1</v>
      </c>
      <c r="AC84" s="131">
        <f t="shared" si="149"/>
        <v>5</v>
      </c>
      <c r="AD84" s="131">
        <f t="shared" si="149"/>
        <v>4</v>
      </c>
      <c r="AE84" s="131">
        <f t="shared" si="149"/>
        <v>3</v>
      </c>
      <c r="AF84" s="131">
        <f t="shared" si="149"/>
        <v>2</v>
      </c>
      <c r="AG84" s="131">
        <f t="shared" si="149"/>
        <v>5</v>
      </c>
      <c r="AH84" s="132">
        <v>1.0</v>
      </c>
      <c r="AI84" s="130" t="s">
        <v>77</v>
      </c>
      <c r="AJ84" s="130" t="s">
        <v>79</v>
      </c>
      <c r="AK84" s="130" t="s">
        <v>75</v>
      </c>
      <c r="AL84" s="130" t="s">
        <v>75</v>
      </c>
      <c r="AM84" s="130" t="s">
        <v>79</v>
      </c>
      <c r="AN84" s="130" t="s">
        <v>78</v>
      </c>
      <c r="AO84" s="130" t="s">
        <v>77</v>
      </c>
      <c r="AP84" s="130" t="s">
        <v>78</v>
      </c>
      <c r="AQ84" s="130" t="s">
        <v>78</v>
      </c>
      <c r="AR84" s="130" t="s">
        <v>75</v>
      </c>
      <c r="AS84" s="130" t="s">
        <v>77</v>
      </c>
      <c r="AT84" s="130" t="s">
        <v>79</v>
      </c>
      <c r="AU84" s="130" t="s">
        <v>78</v>
      </c>
      <c r="AV84" s="130" t="s">
        <v>75</v>
      </c>
      <c r="AW84" s="130" t="s">
        <v>78</v>
      </c>
      <c r="AX84" s="133">
        <f t="shared" ref="AX84:BL84" si="150">COLUMN(INDIRECT(AI84&amp;1))</f>
        <v>1</v>
      </c>
      <c r="AY84" s="133">
        <f t="shared" si="150"/>
        <v>2</v>
      </c>
      <c r="AZ84" s="133">
        <f t="shared" si="150"/>
        <v>4</v>
      </c>
      <c r="BA84" s="133">
        <f t="shared" si="150"/>
        <v>4</v>
      </c>
      <c r="BB84" s="133">
        <f t="shared" si="150"/>
        <v>2</v>
      </c>
      <c r="BC84" s="133">
        <f t="shared" si="150"/>
        <v>3</v>
      </c>
      <c r="BD84" s="133">
        <f t="shared" si="150"/>
        <v>1</v>
      </c>
      <c r="BE84" s="133">
        <f t="shared" si="150"/>
        <v>3</v>
      </c>
      <c r="BF84" s="133">
        <f t="shared" si="150"/>
        <v>3</v>
      </c>
      <c r="BG84" s="133">
        <f t="shared" si="150"/>
        <v>4</v>
      </c>
      <c r="BH84" s="133">
        <f t="shared" si="150"/>
        <v>1</v>
      </c>
      <c r="BI84" s="133">
        <f t="shared" si="150"/>
        <v>2</v>
      </c>
      <c r="BJ84" s="133">
        <f t="shared" si="150"/>
        <v>3</v>
      </c>
      <c r="BK84" s="133">
        <f t="shared" si="150"/>
        <v>4</v>
      </c>
      <c r="BL84" s="133">
        <f t="shared" si="150"/>
        <v>3</v>
      </c>
      <c r="BM84" s="133"/>
      <c r="BN84" s="134"/>
      <c r="BO84" s="89"/>
      <c r="BP84" s="89"/>
      <c r="BQ84" s="89"/>
      <c r="BR84" s="89"/>
      <c r="BS84" s="89"/>
      <c r="BT84" s="89"/>
      <c r="BU84" s="89"/>
      <c r="BV84" s="89"/>
      <c r="BW84" s="89">
        <v>7.0</v>
      </c>
      <c r="BX84" s="37"/>
      <c r="BY84" s="133"/>
      <c r="BZ84" s="133"/>
      <c r="CA84" s="133"/>
      <c r="CB84" s="133"/>
      <c r="CC84" s="133"/>
      <c r="CD84" s="133"/>
      <c r="CE84" s="133"/>
    </row>
    <row r="85">
      <c r="A85" s="128" t="s">
        <v>84</v>
      </c>
      <c r="B85" s="129">
        <v>5.0</v>
      </c>
      <c r="C85" s="129">
        <v>2.0</v>
      </c>
      <c r="D85" s="130" t="s">
        <v>75</v>
      </c>
      <c r="E85" s="130" t="s">
        <v>78</v>
      </c>
      <c r="F85" s="130" t="s">
        <v>78</v>
      </c>
      <c r="G85" s="130" t="s">
        <v>75</v>
      </c>
      <c r="H85" s="130" t="s">
        <v>79</v>
      </c>
      <c r="I85" s="130" t="s">
        <v>79</v>
      </c>
      <c r="J85" s="130" t="s">
        <v>77</v>
      </c>
      <c r="K85" s="130" t="s">
        <v>78</v>
      </c>
      <c r="L85" s="130" t="s">
        <v>75</v>
      </c>
      <c r="M85" s="130" t="s">
        <v>79</v>
      </c>
      <c r="N85" s="130" t="s">
        <v>75</v>
      </c>
      <c r="O85" s="130" t="s">
        <v>79</v>
      </c>
      <c r="P85" s="130" t="s">
        <v>78</v>
      </c>
      <c r="Q85" s="130" t="s">
        <v>79</v>
      </c>
      <c r="R85" s="130" t="s">
        <v>76</v>
      </c>
      <c r="S85" s="131">
        <f t="shared" ref="S85:AG85" si="151">COLUMN(INDIRECT(D85&amp;4))</f>
        <v>4</v>
      </c>
      <c r="T85" s="131">
        <f t="shared" si="151"/>
        <v>3</v>
      </c>
      <c r="U85" s="131">
        <f t="shared" si="151"/>
        <v>3</v>
      </c>
      <c r="V85" s="131">
        <f t="shared" si="151"/>
        <v>4</v>
      </c>
      <c r="W85" s="131">
        <f t="shared" si="151"/>
        <v>2</v>
      </c>
      <c r="X85" s="131">
        <f t="shared" si="151"/>
        <v>2</v>
      </c>
      <c r="Y85" s="131">
        <f t="shared" si="151"/>
        <v>1</v>
      </c>
      <c r="Z85" s="131">
        <f t="shared" si="151"/>
        <v>3</v>
      </c>
      <c r="AA85" s="131">
        <f t="shared" si="151"/>
        <v>4</v>
      </c>
      <c r="AB85" s="131">
        <f t="shared" si="151"/>
        <v>2</v>
      </c>
      <c r="AC85" s="131">
        <f t="shared" si="151"/>
        <v>4</v>
      </c>
      <c r="AD85" s="131">
        <f t="shared" si="151"/>
        <v>2</v>
      </c>
      <c r="AE85" s="131">
        <f t="shared" si="151"/>
        <v>3</v>
      </c>
      <c r="AF85" s="131">
        <f t="shared" si="151"/>
        <v>2</v>
      </c>
      <c r="AG85" s="131">
        <f t="shared" si="151"/>
        <v>5</v>
      </c>
      <c r="AH85" s="132">
        <v>1.0</v>
      </c>
      <c r="AI85" s="130" t="s">
        <v>79</v>
      </c>
      <c r="AJ85" s="130" t="s">
        <v>78</v>
      </c>
      <c r="AK85" s="130" t="s">
        <v>75</v>
      </c>
      <c r="AL85" s="130" t="s">
        <v>75</v>
      </c>
      <c r="AM85" s="130" t="s">
        <v>77</v>
      </c>
      <c r="AN85" s="130" t="s">
        <v>79</v>
      </c>
      <c r="AO85" s="130" t="s">
        <v>77</v>
      </c>
      <c r="AP85" s="130" t="s">
        <v>76</v>
      </c>
      <c r="AQ85" s="130" t="s">
        <v>77</v>
      </c>
      <c r="AR85" s="130" t="s">
        <v>78</v>
      </c>
      <c r="AS85" s="130" t="s">
        <v>77</v>
      </c>
      <c r="AT85" s="130" t="s">
        <v>78</v>
      </c>
      <c r="AU85" s="130" t="s">
        <v>77</v>
      </c>
      <c r="AV85" s="130" t="s">
        <v>77</v>
      </c>
      <c r="AW85" s="130" t="s">
        <v>77</v>
      </c>
      <c r="AX85" s="133">
        <f t="shared" ref="AX85:BL85" si="152">COLUMN(INDIRECT(AI85&amp;1))</f>
        <v>2</v>
      </c>
      <c r="AY85" s="133">
        <f t="shared" si="152"/>
        <v>3</v>
      </c>
      <c r="AZ85" s="133">
        <f t="shared" si="152"/>
        <v>4</v>
      </c>
      <c r="BA85" s="133">
        <f t="shared" si="152"/>
        <v>4</v>
      </c>
      <c r="BB85" s="133">
        <f t="shared" si="152"/>
        <v>1</v>
      </c>
      <c r="BC85" s="133">
        <f t="shared" si="152"/>
        <v>2</v>
      </c>
      <c r="BD85" s="133">
        <f t="shared" si="152"/>
        <v>1</v>
      </c>
      <c r="BE85" s="133">
        <f t="shared" si="152"/>
        <v>5</v>
      </c>
      <c r="BF85" s="133">
        <f t="shared" si="152"/>
        <v>1</v>
      </c>
      <c r="BG85" s="133">
        <f t="shared" si="152"/>
        <v>3</v>
      </c>
      <c r="BH85" s="133">
        <f t="shared" si="152"/>
        <v>1</v>
      </c>
      <c r="BI85" s="133">
        <f t="shared" si="152"/>
        <v>3</v>
      </c>
      <c r="BJ85" s="133">
        <f t="shared" si="152"/>
        <v>1</v>
      </c>
      <c r="BK85" s="133">
        <f t="shared" si="152"/>
        <v>1</v>
      </c>
      <c r="BL85" s="133">
        <f t="shared" si="152"/>
        <v>1</v>
      </c>
      <c r="BM85" s="133"/>
      <c r="BN85" s="133"/>
      <c r="BO85" s="119"/>
      <c r="BP85" s="119"/>
      <c r="BQ85" s="119"/>
      <c r="BR85" s="119"/>
      <c r="BS85" s="119"/>
      <c r="BT85" s="119"/>
      <c r="BU85" s="119"/>
      <c r="BV85" s="119"/>
      <c r="BW85" s="119"/>
      <c r="BX85" s="37"/>
      <c r="BY85" s="133"/>
      <c r="BZ85" s="133"/>
      <c r="CA85" s="133"/>
      <c r="CB85" s="133"/>
      <c r="CC85" s="133"/>
      <c r="CD85" s="133"/>
      <c r="CE85" s="133"/>
    </row>
    <row r="86">
      <c r="A86" s="128" t="s">
        <v>100</v>
      </c>
      <c r="B86" s="129">
        <v>5.0</v>
      </c>
      <c r="C86" s="129">
        <v>2.0</v>
      </c>
      <c r="D86" s="130" t="s">
        <v>76</v>
      </c>
      <c r="E86" s="130" t="s">
        <v>78</v>
      </c>
      <c r="F86" s="130" t="s">
        <v>77</v>
      </c>
      <c r="G86" s="130" t="s">
        <v>79</v>
      </c>
      <c r="H86" s="130" t="s">
        <v>77</v>
      </c>
      <c r="I86" s="130" t="s">
        <v>78</v>
      </c>
      <c r="J86" s="130" t="s">
        <v>79</v>
      </c>
      <c r="K86" s="130" t="s">
        <v>75</v>
      </c>
      <c r="L86" s="130" t="s">
        <v>75</v>
      </c>
      <c r="M86" s="130" t="s">
        <v>77</v>
      </c>
      <c r="N86" s="130" t="s">
        <v>76</v>
      </c>
      <c r="O86" s="130" t="s">
        <v>78</v>
      </c>
      <c r="P86" s="130" t="s">
        <v>75</v>
      </c>
      <c r="Q86" s="130" t="s">
        <v>75</v>
      </c>
      <c r="R86" s="130" t="s">
        <v>76</v>
      </c>
      <c r="S86" s="131">
        <f t="shared" ref="S86:AG86" si="153">COLUMN(INDIRECT(D86&amp;4))</f>
        <v>5</v>
      </c>
      <c r="T86" s="131">
        <f t="shared" si="153"/>
        <v>3</v>
      </c>
      <c r="U86" s="131">
        <f t="shared" si="153"/>
        <v>1</v>
      </c>
      <c r="V86" s="131">
        <f t="shared" si="153"/>
        <v>2</v>
      </c>
      <c r="W86" s="131">
        <f t="shared" si="153"/>
        <v>1</v>
      </c>
      <c r="X86" s="131">
        <f t="shared" si="153"/>
        <v>3</v>
      </c>
      <c r="Y86" s="131">
        <f t="shared" si="153"/>
        <v>2</v>
      </c>
      <c r="Z86" s="131">
        <f t="shared" si="153"/>
        <v>4</v>
      </c>
      <c r="AA86" s="131">
        <f t="shared" si="153"/>
        <v>4</v>
      </c>
      <c r="AB86" s="131">
        <f t="shared" si="153"/>
        <v>1</v>
      </c>
      <c r="AC86" s="131">
        <f t="shared" si="153"/>
        <v>5</v>
      </c>
      <c r="AD86" s="131">
        <f t="shared" si="153"/>
        <v>3</v>
      </c>
      <c r="AE86" s="131">
        <f t="shared" si="153"/>
        <v>4</v>
      </c>
      <c r="AF86" s="131">
        <f t="shared" si="153"/>
        <v>4</v>
      </c>
      <c r="AG86" s="131">
        <f t="shared" si="153"/>
        <v>5</v>
      </c>
      <c r="AH86" s="132">
        <v>1.0</v>
      </c>
      <c r="AI86" s="130" t="s">
        <v>77</v>
      </c>
      <c r="AJ86" s="130" t="s">
        <v>79</v>
      </c>
      <c r="AK86" s="130" t="s">
        <v>75</v>
      </c>
      <c r="AL86" s="130" t="s">
        <v>76</v>
      </c>
      <c r="AM86" s="130" t="s">
        <v>77</v>
      </c>
      <c r="AN86" s="130" t="s">
        <v>78</v>
      </c>
      <c r="AO86" s="130" t="s">
        <v>79</v>
      </c>
      <c r="AP86" s="130" t="s">
        <v>78</v>
      </c>
      <c r="AQ86" s="130" t="s">
        <v>77</v>
      </c>
      <c r="AR86" s="130" t="s">
        <v>75</v>
      </c>
      <c r="AS86" s="130" t="s">
        <v>79</v>
      </c>
      <c r="AT86" s="130" t="s">
        <v>78</v>
      </c>
      <c r="AU86" s="130" t="s">
        <v>76</v>
      </c>
      <c r="AV86" s="130" t="s">
        <v>75</v>
      </c>
      <c r="AW86" s="130" t="s">
        <v>79</v>
      </c>
      <c r="AX86" s="133">
        <f t="shared" ref="AX86:BL86" si="154">COLUMN(INDIRECT(AI86&amp;1))</f>
        <v>1</v>
      </c>
      <c r="AY86" s="133">
        <f t="shared" si="154"/>
        <v>2</v>
      </c>
      <c r="AZ86" s="133">
        <f t="shared" si="154"/>
        <v>4</v>
      </c>
      <c r="BA86" s="133">
        <f t="shared" si="154"/>
        <v>5</v>
      </c>
      <c r="BB86" s="133">
        <f t="shared" si="154"/>
        <v>1</v>
      </c>
      <c r="BC86" s="133">
        <f t="shared" si="154"/>
        <v>3</v>
      </c>
      <c r="BD86" s="133">
        <f t="shared" si="154"/>
        <v>2</v>
      </c>
      <c r="BE86" s="133">
        <f t="shared" si="154"/>
        <v>3</v>
      </c>
      <c r="BF86" s="133">
        <f t="shared" si="154"/>
        <v>1</v>
      </c>
      <c r="BG86" s="133">
        <f t="shared" si="154"/>
        <v>4</v>
      </c>
      <c r="BH86" s="133">
        <f t="shared" si="154"/>
        <v>2</v>
      </c>
      <c r="BI86" s="133">
        <f t="shared" si="154"/>
        <v>3</v>
      </c>
      <c r="BJ86" s="133">
        <f t="shared" si="154"/>
        <v>5</v>
      </c>
      <c r="BK86" s="133">
        <f t="shared" si="154"/>
        <v>4</v>
      </c>
      <c r="BL86" s="133">
        <f t="shared" si="154"/>
        <v>2</v>
      </c>
      <c r="BM86" s="133"/>
      <c r="BN86" s="133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133"/>
      <c r="BZ86" s="133"/>
      <c r="CA86" s="133"/>
      <c r="CB86" s="133"/>
      <c r="CC86" s="133"/>
      <c r="CD86" s="133"/>
      <c r="CE86" s="133"/>
    </row>
    <row r="87">
      <c r="A87" s="128" t="s">
        <v>35</v>
      </c>
      <c r="B87" s="129">
        <v>5.0</v>
      </c>
      <c r="C87" s="129">
        <v>2.0</v>
      </c>
      <c r="D87" s="130" t="s">
        <v>76</v>
      </c>
      <c r="E87" s="130" t="s">
        <v>75</v>
      </c>
      <c r="F87" s="130" t="s">
        <v>79</v>
      </c>
      <c r="G87" s="130" t="s">
        <v>78</v>
      </c>
      <c r="H87" s="130" t="s">
        <v>79</v>
      </c>
      <c r="I87" s="130" t="s">
        <v>78</v>
      </c>
      <c r="J87" s="130" t="s">
        <v>77</v>
      </c>
      <c r="K87" s="130" t="s">
        <v>79</v>
      </c>
      <c r="L87" s="130" t="s">
        <v>75</v>
      </c>
      <c r="M87" s="130" t="s">
        <v>77</v>
      </c>
      <c r="N87" s="130" t="s">
        <v>76</v>
      </c>
      <c r="O87" s="130" t="s">
        <v>78</v>
      </c>
      <c r="P87" s="130" t="s">
        <v>75</v>
      </c>
      <c r="Q87" s="130" t="s">
        <v>77</v>
      </c>
      <c r="R87" s="130" t="s">
        <v>76</v>
      </c>
      <c r="S87" s="131">
        <f t="shared" ref="S87:AG87" si="155">COLUMN(INDIRECT(D87&amp;4))</f>
        <v>5</v>
      </c>
      <c r="T87" s="131">
        <f t="shared" si="155"/>
        <v>4</v>
      </c>
      <c r="U87" s="131">
        <f t="shared" si="155"/>
        <v>2</v>
      </c>
      <c r="V87" s="131">
        <f t="shared" si="155"/>
        <v>3</v>
      </c>
      <c r="W87" s="131">
        <f t="shared" si="155"/>
        <v>2</v>
      </c>
      <c r="X87" s="131">
        <f t="shared" si="155"/>
        <v>3</v>
      </c>
      <c r="Y87" s="131">
        <f t="shared" si="155"/>
        <v>1</v>
      </c>
      <c r="Z87" s="131">
        <f t="shared" si="155"/>
        <v>2</v>
      </c>
      <c r="AA87" s="131">
        <f t="shared" si="155"/>
        <v>4</v>
      </c>
      <c r="AB87" s="131">
        <f t="shared" si="155"/>
        <v>1</v>
      </c>
      <c r="AC87" s="131">
        <f t="shared" si="155"/>
        <v>5</v>
      </c>
      <c r="AD87" s="131">
        <f t="shared" si="155"/>
        <v>3</v>
      </c>
      <c r="AE87" s="131">
        <f t="shared" si="155"/>
        <v>4</v>
      </c>
      <c r="AF87" s="131">
        <f t="shared" si="155"/>
        <v>1</v>
      </c>
      <c r="AG87" s="131">
        <f t="shared" si="155"/>
        <v>5</v>
      </c>
      <c r="AH87" s="132">
        <v>1.0</v>
      </c>
      <c r="AI87" s="130" t="s">
        <v>77</v>
      </c>
      <c r="AJ87" s="130" t="s">
        <v>79</v>
      </c>
      <c r="AK87" s="130" t="s">
        <v>76</v>
      </c>
      <c r="AL87" s="130" t="s">
        <v>75</v>
      </c>
      <c r="AM87" s="130" t="s">
        <v>77</v>
      </c>
      <c r="AN87" s="130" t="s">
        <v>79</v>
      </c>
      <c r="AO87" s="130" t="s">
        <v>78</v>
      </c>
      <c r="AP87" s="130" t="s">
        <v>76</v>
      </c>
      <c r="AQ87" s="130" t="s">
        <v>79</v>
      </c>
      <c r="AR87" s="130" t="s">
        <v>75</v>
      </c>
      <c r="AS87" s="130" t="s">
        <v>79</v>
      </c>
      <c r="AT87" s="130" t="s">
        <v>78</v>
      </c>
      <c r="AU87" s="130" t="s">
        <v>79</v>
      </c>
      <c r="AV87" s="130" t="s">
        <v>78</v>
      </c>
      <c r="AW87" s="130" t="s">
        <v>79</v>
      </c>
      <c r="AX87" s="133">
        <f t="shared" ref="AX87:BL87" si="156">COLUMN(INDIRECT(AI87&amp;1))</f>
        <v>1</v>
      </c>
      <c r="AY87" s="133">
        <f t="shared" si="156"/>
        <v>2</v>
      </c>
      <c r="AZ87" s="133">
        <f t="shared" si="156"/>
        <v>5</v>
      </c>
      <c r="BA87" s="133">
        <f t="shared" si="156"/>
        <v>4</v>
      </c>
      <c r="BB87" s="133">
        <f t="shared" si="156"/>
        <v>1</v>
      </c>
      <c r="BC87" s="133">
        <f t="shared" si="156"/>
        <v>2</v>
      </c>
      <c r="BD87" s="133">
        <f t="shared" si="156"/>
        <v>3</v>
      </c>
      <c r="BE87" s="133">
        <f t="shared" si="156"/>
        <v>5</v>
      </c>
      <c r="BF87" s="133">
        <f t="shared" si="156"/>
        <v>2</v>
      </c>
      <c r="BG87" s="133">
        <f t="shared" si="156"/>
        <v>4</v>
      </c>
      <c r="BH87" s="133">
        <f t="shared" si="156"/>
        <v>2</v>
      </c>
      <c r="BI87" s="133">
        <f t="shared" si="156"/>
        <v>3</v>
      </c>
      <c r="BJ87" s="133">
        <f t="shared" si="156"/>
        <v>2</v>
      </c>
      <c r="BK87" s="133">
        <f t="shared" si="156"/>
        <v>3</v>
      </c>
      <c r="BL87" s="133">
        <f t="shared" si="156"/>
        <v>2</v>
      </c>
      <c r="BM87" s="133"/>
      <c r="BN87" s="133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133"/>
      <c r="BZ87" s="133"/>
      <c r="CA87" s="133"/>
      <c r="CB87" s="133"/>
      <c r="CC87" s="133"/>
      <c r="CD87" s="133"/>
      <c r="CE87" s="133"/>
    </row>
    <row r="88">
      <c r="A88" s="128" t="s">
        <v>36</v>
      </c>
      <c r="B88" s="129">
        <v>5.0</v>
      </c>
      <c r="C88" s="129">
        <v>2.0</v>
      </c>
      <c r="D88" s="130" t="s">
        <v>75</v>
      </c>
      <c r="E88" s="130" t="s">
        <v>79</v>
      </c>
      <c r="F88" s="130" t="s">
        <v>77</v>
      </c>
      <c r="G88" s="130" t="s">
        <v>76</v>
      </c>
      <c r="H88" s="130" t="s">
        <v>79</v>
      </c>
      <c r="I88" s="130" t="s">
        <v>77</v>
      </c>
      <c r="J88" s="130" t="s">
        <v>79</v>
      </c>
      <c r="K88" s="130" t="s">
        <v>78</v>
      </c>
      <c r="L88" s="130" t="s">
        <v>76</v>
      </c>
      <c r="M88" s="130" t="s">
        <v>79</v>
      </c>
      <c r="N88" s="130" t="s">
        <v>75</v>
      </c>
      <c r="O88" s="130" t="s">
        <v>78</v>
      </c>
      <c r="P88" s="130" t="s">
        <v>78</v>
      </c>
      <c r="Q88" s="130" t="s">
        <v>77</v>
      </c>
      <c r="R88" s="130" t="s">
        <v>76</v>
      </c>
      <c r="S88" s="131">
        <f t="shared" ref="S88:AG88" si="157">COLUMN(INDIRECT(D88&amp;4))</f>
        <v>4</v>
      </c>
      <c r="T88" s="131">
        <f t="shared" si="157"/>
        <v>2</v>
      </c>
      <c r="U88" s="131">
        <f t="shared" si="157"/>
        <v>1</v>
      </c>
      <c r="V88" s="131">
        <f t="shared" si="157"/>
        <v>5</v>
      </c>
      <c r="W88" s="131">
        <f t="shared" si="157"/>
        <v>2</v>
      </c>
      <c r="X88" s="131">
        <f t="shared" si="157"/>
        <v>1</v>
      </c>
      <c r="Y88" s="131">
        <f t="shared" si="157"/>
        <v>2</v>
      </c>
      <c r="Z88" s="131">
        <f t="shared" si="157"/>
        <v>3</v>
      </c>
      <c r="AA88" s="131">
        <f t="shared" si="157"/>
        <v>5</v>
      </c>
      <c r="AB88" s="131">
        <f t="shared" si="157"/>
        <v>2</v>
      </c>
      <c r="AC88" s="131">
        <f t="shared" si="157"/>
        <v>4</v>
      </c>
      <c r="AD88" s="131">
        <f t="shared" si="157"/>
        <v>3</v>
      </c>
      <c r="AE88" s="131">
        <f t="shared" si="157"/>
        <v>3</v>
      </c>
      <c r="AF88" s="131">
        <f t="shared" si="157"/>
        <v>1</v>
      </c>
      <c r="AG88" s="131">
        <f t="shared" si="157"/>
        <v>5</v>
      </c>
      <c r="AH88" s="132">
        <v>1.0</v>
      </c>
      <c r="AI88" s="130" t="s">
        <v>77</v>
      </c>
      <c r="AJ88" s="130" t="s">
        <v>77</v>
      </c>
      <c r="AK88" s="130" t="s">
        <v>75</v>
      </c>
      <c r="AL88" s="130" t="s">
        <v>75</v>
      </c>
      <c r="AM88" s="130" t="s">
        <v>77</v>
      </c>
      <c r="AN88" s="130" t="s">
        <v>79</v>
      </c>
      <c r="AO88" s="130" t="s">
        <v>77</v>
      </c>
      <c r="AP88" s="130" t="s">
        <v>78</v>
      </c>
      <c r="AQ88" s="130" t="s">
        <v>79</v>
      </c>
      <c r="AR88" s="130" t="s">
        <v>79</v>
      </c>
      <c r="AS88" s="130" t="s">
        <v>75</v>
      </c>
      <c r="AT88" s="130" t="s">
        <v>78</v>
      </c>
      <c r="AU88" s="130" t="s">
        <v>79</v>
      </c>
      <c r="AV88" s="130" t="s">
        <v>78</v>
      </c>
      <c r="AW88" s="130" t="s">
        <v>75</v>
      </c>
      <c r="AX88" s="133">
        <f t="shared" ref="AX88:BL88" si="158">COLUMN(INDIRECT(AI88&amp;1))</f>
        <v>1</v>
      </c>
      <c r="AY88" s="133">
        <f t="shared" si="158"/>
        <v>1</v>
      </c>
      <c r="AZ88" s="133">
        <f t="shared" si="158"/>
        <v>4</v>
      </c>
      <c r="BA88" s="133">
        <f t="shared" si="158"/>
        <v>4</v>
      </c>
      <c r="BB88" s="133">
        <f t="shared" si="158"/>
        <v>1</v>
      </c>
      <c r="BC88" s="133">
        <f t="shared" si="158"/>
        <v>2</v>
      </c>
      <c r="BD88" s="133">
        <f t="shared" si="158"/>
        <v>1</v>
      </c>
      <c r="BE88" s="133">
        <f t="shared" si="158"/>
        <v>3</v>
      </c>
      <c r="BF88" s="133">
        <f t="shared" si="158"/>
        <v>2</v>
      </c>
      <c r="BG88" s="133">
        <f t="shared" si="158"/>
        <v>2</v>
      </c>
      <c r="BH88" s="133">
        <f t="shared" si="158"/>
        <v>4</v>
      </c>
      <c r="BI88" s="133">
        <f t="shared" si="158"/>
        <v>3</v>
      </c>
      <c r="BJ88" s="133">
        <f t="shared" si="158"/>
        <v>2</v>
      </c>
      <c r="BK88" s="133">
        <f t="shared" si="158"/>
        <v>3</v>
      </c>
      <c r="BL88" s="133">
        <f t="shared" si="158"/>
        <v>4</v>
      </c>
      <c r="BM88" s="133"/>
      <c r="BN88" s="133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133"/>
      <c r="BZ88" s="133"/>
      <c r="CA88" s="133"/>
      <c r="CB88" s="133"/>
      <c r="CC88" s="133"/>
      <c r="CD88" s="133"/>
      <c r="CE88" s="133"/>
    </row>
    <row r="89">
      <c r="A89" s="128" t="s">
        <v>37</v>
      </c>
      <c r="B89" s="129">
        <v>5.0</v>
      </c>
      <c r="C89" s="129">
        <v>2.0</v>
      </c>
      <c r="D89" s="130" t="s">
        <v>75</v>
      </c>
      <c r="E89" s="130" t="s">
        <v>78</v>
      </c>
      <c r="F89" s="130" t="s">
        <v>79</v>
      </c>
      <c r="G89" s="130" t="s">
        <v>76</v>
      </c>
      <c r="H89" s="130" t="s">
        <v>76</v>
      </c>
      <c r="I89" s="130" t="s">
        <v>75</v>
      </c>
      <c r="J89" s="130" t="s">
        <v>77</v>
      </c>
      <c r="K89" s="130" t="s">
        <v>76</v>
      </c>
      <c r="L89" s="130" t="s">
        <v>75</v>
      </c>
      <c r="M89" s="130" t="s">
        <v>78</v>
      </c>
      <c r="N89" s="130" t="s">
        <v>76</v>
      </c>
      <c r="O89" s="130" t="s">
        <v>75</v>
      </c>
      <c r="P89" s="130" t="s">
        <v>76</v>
      </c>
      <c r="Q89" s="130" t="s">
        <v>76</v>
      </c>
      <c r="R89" s="130" t="s">
        <v>76</v>
      </c>
      <c r="S89" s="131">
        <f t="shared" ref="S89:AG89" si="159">COLUMN(INDIRECT(D89&amp;4))</f>
        <v>4</v>
      </c>
      <c r="T89" s="131">
        <f t="shared" si="159"/>
        <v>3</v>
      </c>
      <c r="U89" s="131">
        <f t="shared" si="159"/>
        <v>2</v>
      </c>
      <c r="V89" s="131">
        <f t="shared" si="159"/>
        <v>5</v>
      </c>
      <c r="W89" s="131">
        <f t="shared" si="159"/>
        <v>5</v>
      </c>
      <c r="X89" s="131">
        <f t="shared" si="159"/>
        <v>4</v>
      </c>
      <c r="Y89" s="131">
        <f t="shared" si="159"/>
        <v>1</v>
      </c>
      <c r="Z89" s="131">
        <f t="shared" si="159"/>
        <v>5</v>
      </c>
      <c r="AA89" s="131">
        <f t="shared" si="159"/>
        <v>4</v>
      </c>
      <c r="AB89" s="131">
        <f t="shared" si="159"/>
        <v>3</v>
      </c>
      <c r="AC89" s="131">
        <f t="shared" si="159"/>
        <v>5</v>
      </c>
      <c r="AD89" s="131">
        <f t="shared" si="159"/>
        <v>4</v>
      </c>
      <c r="AE89" s="131">
        <f t="shared" si="159"/>
        <v>5</v>
      </c>
      <c r="AF89" s="131">
        <f t="shared" si="159"/>
        <v>5</v>
      </c>
      <c r="AG89" s="131">
        <f t="shared" si="159"/>
        <v>5</v>
      </c>
      <c r="AH89" s="132">
        <v>1.0</v>
      </c>
      <c r="AI89" s="130" t="s">
        <v>77</v>
      </c>
      <c r="AJ89" s="130" t="s">
        <v>78</v>
      </c>
      <c r="AK89" s="130" t="s">
        <v>76</v>
      </c>
      <c r="AL89" s="130" t="s">
        <v>78</v>
      </c>
      <c r="AM89" s="130" t="s">
        <v>75</v>
      </c>
      <c r="AN89" s="130" t="s">
        <v>75</v>
      </c>
      <c r="AO89" s="130" t="s">
        <v>78</v>
      </c>
      <c r="AP89" s="130" t="s">
        <v>76</v>
      </c>
      <c r="AQ89" s="130" t="s">
        <v>78</v>
      </c>
      <c r="AR89" s="130" t="s">
        <v>76</v>
      </c>
      <c r="AS89" s="130" t="s">
        <v>77</v>
      </c>
      <c r="AT89" s="130" t="s">
        <v>76</v>
      </c>
      <c r="AU89" s="130" t="s">
        <v>76</v>
      </c>
      <c r="AV89" s="130" t="s">
        <v>75</v>
      </c>
      <c r="AW89" s="130" t="s">
        <v>75</v>
      </c>
      <c r="AX89" s="133">
        <f t="shared" ref="AX89:BL89" si="160">COLUMN(INDIRECT(AI89&amp;1))</f>
        <v>1</v>
      </c>
      <c r="AY89" s="133">
        <f t="shared" si="160"/>
        <v>3</v>
      </c>
      <c r="AZ89" s="133">
        <f t="shared" si="160"/>
        <v>5</v>
      </c>
      <c r="BA89" s="133">
        <f t="shared" si="160"/>
        <v>3</v>
      </c>
      <c r="BB89" s="133">
        <f t="shared" si="160"/>
        <v>4</v>
      </c>
      <c r="BC89" s="133">
        <f t="shared" si="160"/>
        <v>4</v>
      </c>
      <c r="BD89" s="133">
        <f t="shared" si="160"/>
        <v>3</v>
      </c>
      <c r="BE89" s="133">
        <f t="shared" si="160"/>
        <v>5</v>
      </c>
      <c r="BF89" s="133">
        <f t="shared" si="160"/>
        <v>3</v>
      </c>
      <c r="BG89" s="133">
        <f t="shared" si="160"/>
        <v>5</v>
      </c>
      <c r="BH89" s="133">
        <f t="shared" si="160"/>
        <v>1</v>
      </c>
      <c r="BI89" s="133">
        <f t="shared" si="160"/>
        <v>5</v>
      </c>
      <c r="BJ89" s="133">
        <f t="shared" si="160"/>
        <v>5</v>
      </c>
      <c r="BK89" s="133">
        <f t="shared" si="160"/>
        <v>4</v>
      </c>
      <c r="BL89" s="133">
        <f t="shared" si="160"/>
        <v>4</v>
      </c>
      <c r="BM89" s="133"/>
      <c r="BN89" s="133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133"/>
      <c r="BZ89" s="133"/>
      <c r="CA89" s="133"/>
      <c r="CB89" s="133"/>
      <c r="CC89" s="133"/>
      <c r="CD89" s="133"/>
      <c r="CE89" s="133"/>
    </row>
    <row r="90">
      <c r="A90" s="128" t="s">
        <v>38</v>
      </c>
      <c r="B90" s="129">
        <v>5.0</v>
      </c>
      <c r="C90" s="129">
        <v>1.0</v>
      </c>
      <c r="D90" s="130" t="s">
        <v>75</v>
      </c>
      <c r="E90" s="130" t="s">
        <v>79</v>
      </c>
      <c r="F90" s="130" t="s">
        <v>77</v>
      </c>
      <c r="G90" s="130" t="s">
        <v>77</v>
      </c>
      <c r="H90" s="130" t="s">
        <v>77</v>
      </c>
      <c r="I90" s="130" t="s">
        <v>77</v>
      </c>
      <c r="J90" s="130" t="s">
        <v>79</v>
      </c>
      <c r="K90" s="130" t="s">
        <v>76</v>
      </c>
      <c r="L90" s="130" t="s">
        <v>75</v>
      </c>
      <c r="M90" s="130" t="s">
        <v>79</v>
      </c>
      <c r="N90" s="130" t="s">
        <v>76</v>
      </c>
      <c r="O90" s="130" t="s">
        <v>77</v>
      </c>
      <c r="P90" s="130" t="s">
        <v>76</v>
      </c>
      <c r="Q90" s="130" t="s">
        <v>77</v>
      </c>
      <c r="R90" s="130" t="s">
        <v>76</v>
      </c>
      <c r="S90" s="131">
        <f t="shared" ref="S90:AG90" si="161">COLUMN(INDIRECT(D90&amp;4))</f>
        <v>4</v>
      </c>
      <c r="T90" s="131">
        <f t="shared" si="161"/>
        <v>2</v>
      </c>
      <c r="U90" s="131">
        <f t="shared" si="161"/>
        <v>1</v>
      </c>
      <c r="V90" s="131">
        <f t="shared" si="161"/>
        <v>1</v>
      </c>
      <c r="W90" s="131">
        <f t="shared" si="161"/>
        <v>1</v>
      </c>
      <c r="X90" s="131">
        <f t="shared" si="161"/>
        <v>1</v>
      </c>
      <c r="Y90" s="131">
        <f t="shared" si="161"/>
        <v>2</v>
      </c>
      <c r="Z90" s="131">
        <f t="shared" si="161"/>
        <v>5</v>
      </c>
      <c r="AA90" s="131">
        <f t="shared" si="161"/>
        <v>4</v>
      </c>
      <c r="AB90" s="131">
        <f t="shared" si="161"/>
        <v>2</v>
      </c>
      <c r="AC90" s="131">
        <f t="shared" si="161"/>
        <v>5</v>
      </c>
      <c r="AD90" s="131">
        <f t="shared" si="161"/>
        <v>1</v>
      </c>
      <c r="AE90" s="131">
        <f t="shared" si="161"/>
        <v>5</v>
      </c>
      <c r="AF90" s="131">
        <f t="shared" si="161"/>
        <v>1</v>
      </c>
      <c r="AG90" s="131">
        <f t="shared" si="161"/>
        <v>5</v>
      </c>
      <c r="AH90" s="132">
        <v>2.0</v>
      </c>
      <c r="AI90" s="130" t="s">
        <v>77</v>
      </c>
      <c r="AJ90" s="130" t="s">
        <v>79</v>
      </c>
      <c r="AK90" s="130" t="s">
        <v>76</v>
      </c>
      <c r="AL90" s="130" t="s">
        <v>76</v>
      </c>
      <c r="AM90" s="130" t="s">
        <v>76</v>
      </c>
      <c r="AN90" s="130" t="s">
        <v>79</v>
      </c>
      <c r="AO90" s="130" t="s">
        <v>77</v>
      </c>
      <c r="AP90" s="130" t="s">
        <v>75</v>
      </c>
      <c r="AQ90" s="130" t="s">
        <v>77</v>
      </c>
      <c r="AR90" s="130" t="s">
        <v>76</v>
      </c>
      <c r="AS90" s="130" t="s">
        <v>77</v>
      </c>
      <c r="AT90" s="130" t="s">
        <v>76</v>
      </c>
      <c r="AU90" s="130" t="s">
        <v>75</v>
      </c>
      <c r="AV90" s="130" t="s">
        <v>77</v>
      </c>
      <c r="AW90" s="130" t="s">
        <v>77</v>
      </c>
      <c r="AX90" s="133">
        <f t="shared" ref="AX90:BL90" si="162">COLUMN(INDIRECT(AI90&amp;1))</f>
        <v>1</v>
      </c>
      <c r="AY90" s="133">
        <f t="shared" si="162"/>
        <v>2</v>
      </c>
      <c r="AZ90" s="133">
        <f t="shared" si="162"/>
        <v>5</v>
      </c>
      <c r="BA90" s="133">
        <f t="shared" si="162"/>
        <v>5</v>
      </c>
      <c r="BB90" s="133">
        <f t="shared" si="162"/>
        <v>5</v>
      </c>
      <c r="BC90" s="133">
        <f t="shared" si="162"/>
        <v>2</v>
      </c>
      <c r="BD90" s="133">
        <f t="shared" si="162"/>
        <v>1</v>
      </c>
      <c r="BE90" s="133">
        <f t="shared" si="162"/>
        <v>4</v>
      </c>
      <c r="BF90" s="133">
        <f t="shared" si="162"/>
        <v>1</v>
      </c>
      <c r="BG90" s="133">
        <f t="shared" si="162"/>
        <v>5</v>
      </c>
      <c r="BH90" s="133">
        <f t="shared" si="162"/>
        <v>1</v>
      </c>
      <c r="BI90" s="133">
        <f t="shared" si="162"/>
        <v>5</v>
      </c>
      <c r="BJ90" s="133">
        <f t="shared" si="162"/>
        <v>4</v>
      </c>
      <c r="BK90" s="133">
        <f t="shared" si="162"/>
        <v>1</v>
      </c>
      <c r="BL90" s="133">
        <f t="shared" si="162"/>
        <v>1</v>
      </c>
      <c r="BM90" s="133"/>
      <c r="BN90" s="133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133"/>
      <c r="BZ90" s="133"/>
      <c r="CA90" s="133"/>
      <c r="CB90" s="133"/>
      <c r="CC90" s="133"/>
      <c r="CD90" s="133"/>
      <c r="CE90" s="133"/>
    </row>
    <row r="91">
      <c r="A91" s="128" t="s">
        <v>40</v>
      </c>
      <c r="B91" s="129">
        <v>5.0</v>
      </c>
      <c r="C91" s="129">
        <v>1.0</v>
      </c>
      <c r="D91" s="130" t="s">
        <v>79</v>
      </c>
      <c r="E91" s="130" t="s">
        <v>79</v>
      </c>
      <c r="F91" s="130" t="s">
        <v>77</v>
      </c>
      <c r="G91" s="130" t="s">
        <v>79</v>
      </c>
      <c r="H91" s="130" t="s">
        <v>79</v>
      </c>
      <c r="I91" s="130" t="s">
        <v>78</v>
      </c>
      <c r="J91" s="130" t="s">
        <v>77</v>
      </c>
      <c r="K91" s="130" t="s">
        <v>78</v>
      </c>
      <c r="L91" s="130" t="s">
        <v>79</v>
      </c>
      <c r="M91" s="130" t="s">
        <v>79</v>
      </c>
      <c r="N91" s="130" t="s">
        <v>78</v>
      </c>
      <c r="O91" s="130" t="s">
        <v>79</v>
      </c>
      <c r="P91" s="130" t="s">
        <v>79</v>
      </c>
      <c r="Q91" s="130" t="s">
        <v>77</v>
      </c>
      <c r="R91" s="130" t="s">
        <v>78</v>
      </c>
      <c r="S91" s="131">
        <f t="shared" ref="S91:AG91" si="163">COLUMN(INDIRECT(D91&amp;4))</f>
        <v>2</v>
      </c>
      <c r="T91" s="131">
        <f t="shared" si="163"/>
        <v>2</v>
      </c>
      <c r="U91" s="131">
        <f t="shared" si="163"/>
        <v>1</v>
      </c>
      <c r="V91" s="131">
        <f t="shared" si="163"/>
        <v>2</v>
      </c>
      <c r="W91" s="131">
        <f t="shared" si="163"/>
        <v>2</v>
      </c>
      <c r="X91" s="131">
        <f t="shared" si="163"/>
        <v>3</v>
      </c>
      <c r="Y91" s="131">
        <f t="shared" si="163"/>
        <v>1</v>
      </c>
      <c r="Z91" s="131">
        <f t="shared" si="163"/>
        <v>3</v>
      </c>
      <c r="AA91" s="131">
        <f t="shared" si="163"/>
        <v>2</v>
      </c>
      <c r="AB91" s="131">
        <f t="shared" si="163"/>
        <v>2</v>
      </c>
      <c r="AC91" s="131">
        <f t="shared" si="163"/>
        <v>3</v>
      </c>
      <c r="AD91" s="131">
        <f t="shared" si="163"/>
        <v>2</v>
      </c>
      <c r="AE91" s="131">
        <f t="shared" si="163"/>
        <v>2</v>
      </c>
      <c r="AF91" s="131">
        <f t="shared" si="163"/>
        <v>1</v>
      </c>
      <c r="AG91" s="131">
        <f t="shared" si="163"/>
        <v>3</v>
      </c>
      <c r="AH91" s="132">
        <v>2.0</v>
      </c>
      <c r="AI91" s="130" t="s">
        <v>77</v>
      </c>
      <c r="AJ91" s="130" t="s">
        <v>77</v>
      </c>
      <c r="AK91" s="130" t="s">
        <v>78</v>
      </c>
      <c r="AL91" s="130" t="s">
        <v>78</v>
      </c>
      <c r="AM91" s="130" t="s">
        <v>77</v>
      </c>
      <c r="AN91" s="130" t="s">
        <v>77</v>
      </c>
      <c r="AO91" s="130" t="s">
        <v>77</v>
      </c>
      <c r="AP91" s="130" t="s">
        <v>79</v>
      </c>
      <c r="AQ91" s="130" t="s">
        <v>79</v>
      </c>
      <c r="AR91" s="130" t="s">
        <v>78</v>
      </c>
      <c r="AS91" s="130" t="s">
        <v>79</v>
      </c>
      <c r="AT91" s="130" t="s">
        <v>78</v>
      </c>
      <c r="AU91" s="130" t="s">
        <v>77</v>
      </c>
      <c r="AV91" s="130" t="s">
        <v>77</v>
      </c>
      <c r="AW91" s="130" t="s">
        <v>79</v>
      </c>
      <c r="AX91" s="133">
        <f t="shared" ref="AX91:BL91" si="164">COLUMN(INDIRECT(AI91&amp;1))</f>
        <v>1</v>
      </c>
      <c r="AY91" s="133">
        <f t="shared" si="164"/>
        <v>1</v>
      </c>
      <c r="AZ91" s="133">
        <f t="shared" si="164"/>
        <v>3</v>
      </c>
      <c r="BA91" s="133">
        <f t="shared" si="164"/>
        <v>3</v>
      </c>
      <c r="BB91" s="133">
        <f t="shared" si="164"/>
        <v>1</v>
      </c>
      <c r="BC91" s="133">
        <f t="shared" si="164"/>
        <v>1</v>
      </c>
      <c r="BD91" s="133">
        <f t="shared" si="164"/>
        <v>1</v>
      </c>
      <c r="BE91" s="133">
        <f t="shared" si="164"/>
        <v>2</v>
      </c>
      <c r="BF91" s="133">
        <f t="shared" si="164"/>
        <v>2</v>
      </c>
      <c r="BG91" s="133">
        <f t="shared" si="164"/>
        <v>3</v>
      </c>
      <c r="BH91" s="133">
        <f t="shared" si="164"/>
        <v>2</v>
      </c>
      <c r="BI91" s="133">
        <f t="shared" si="164"/>
        <v>3</v>
      </c>
      <c r="BJ91" s="133">
        <f t="shared" si="164"/>
        <v>1</v>
      </c>
      <c r="BK91" s="133">
        <f t="shared" si="164"/>
        <v>1</v>
      </c>
      <c r="BL91" s="133">
        <f t="shared" si="164"/>
        <v>2</v>
      </c>
      <c r="BM91" s="133"/>
      <c r="BN91" s="133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133"/>
      <c r="BZ91" s="133"/>
      <c r="CA91" s="133"/>
      <c r="CB91" s="133"/>
      <c r="CC91" s="133"/>
      <c r="CD91" s="133"/>
      <c r="CE91" s="133"/>
    </row>
    <row r="92">
      <c r="A92" s="128" t="s">
        <v>39</v>
      </c>
      <c r="B92" s="129">
        <v>5.0</v>
      </c>
      <c r="C92" s="129">
        <v>1.0</v>
      </c>
      <c r="D92" s="130" t="s">
        <v>75</v>
      </c>
      <c r="E92" s="130" t="s">
        <v>78</v>
      </c>
      <c r="F92" s="130" t="s">
        <v>77</v>
      </c>
      <c r="G92" s="130" t="s">
        <v>78</v>
      </c>
      <c r="H92" s="130" t="s">
        <v>79</v>
      </c>
      <c r="I92" s="130" t="s">
        <v>79</v>
      </c>
      <c r="J92" s="130" t="s">
        <v>78</v>
      </c>
      <c r="K92" s="130" t="s">
        <v>75</v>
      </c>
      <c r="L92" s="130" t="s">
        <v>78</v>
      </c>
      <c r="M92" s="130" t="s">
        <v>75</v>
      </c>
      <c r="N92" s="130" t="s">
        <v>76</v>
      </c>
      <c r="O92" s="130" t="s">
        <v>76</v>
      </c>
      <c r="P92" s="130" t="s">
        <v>76</v>
      </c>
      <c r="Q92" s="130" t="s">
        <v>79</v>
      </c>
      <c r="R92" s="130" t="s">
        <v>76</v>
      </c>
      <c r="S92" s="131">
        <f t="shared" ref="S92:AG92" si="165">COLUMN(INDIRECT(D92&amp;4))</f>
        <v>4</v>
      </c>
      <c r="T92" s="131">
        <f t="shared" si="165"/>
        <v>3</v>
      </c>
      <c r="U92" s="131">
        <f t="shared" si="165"/>
        <v>1</v>
      </c>
      <c r="V92" s="131">
        <f t="shared" si="165"/>
        <v>3</v>
      </c>
      <c r="W92" s="131">
        <f t="shared" si="165"/>
        <v>2</v>
      </c>
      <c r="X92" s="131">
        <f t="shared" si="165"/>
        <v>2</v>
      </c>
      <c r="Y92" s="131">
        <f t="shared" si="165"/>
        <v>3</v>
      </c>
      <c r="Z92" s="131">
        <f t="shared" si="165"/>
        <v>4</v>
      </c>
      <c r="AA92" s="131">
        <f t="shared" si="165"/>
        <v>3</v>
      </c>
      <c r="AB92" s="131">
        <f t="shared" si="165"/>
        <v>4</v>
      </c>
      <c r="AC92" s="131">
        <f t="shared" si="165"/>
        <v>5</v>
      </c>
      <c r="AD92" s="131">
        <f t="shared" si="165"/>
        <v>5</v>
      </c>
      <c r="AE92" s="131">
        <f t="shared" si="165"/>
        <v>5</v>
      </c>
      <c r="AF92" s="131">
        <f t="shared" si="165"/>
        <v>2</v>
      </c>
      <c r="AG92" s="131">
        <f t="shared" si="165"/>
        <v>5</v>
      </c>
      <c r="AH92" s="132">
        <v>2.0</v>
      </c>
      <c r="AI92" s="130" t="s">
        <v>79</v>
      </c>
      <c r="AJ92" s="130" t="s">
        <v>78</v>
      </c>
      <c r="AK92" s="130" t="s">
        <v>75</v>
      </c>
      <c r="AL92" s="130" t="s">
        <v>75</v>
      </c>
      <c r="AM92" s="130" t="s">
        <v>79</v>
      </c>
      <c r="AN92" s="130" t="s">
        <v>78</v>
      </c>
      <c r="AO92" s="130" t="s">
        <v>75</v>
      </c>
      <c r="AP92" s="130" t="s">
        <v>78</v>
      </c>
      <c r="AQ92" s="130" t="s">
        <v>79</v>
      </c>
      <c r="AR92" s="130" t="s">
        <v>78</v>
      </c>
      <c r="AS92" s="130" t="s">
        <v>78</v>
      </c>
      <c r="AT92" s="130" t="s">
        <v>75</v>
      </c>
      <c r="AU92" s="130" t="s">
        <v>79</v>
      </c>
      <c r="AV92" s="130" t="s">
        <v>75</v>
      </c>
      <c r="AW92" s="130" t="s">
        <v>78</v>
      </c>
      <c r="AX92" s="133">
        <f t="shared" ref="AX92:BL92" si="166">COLUMN(INDIRECT(AI92&amp;1))</f>
        <v>2</v>
      </c>
      <c r="AY92" s="133">
        <f t="shared" si="166"/>
        <v>3</v>
      </c>
      <c r="AZ92" s="133">
        <f t="shared" si="166"/>
        <v>4</v>
      </c>
      <c r="BA92" s="133">
        <f t="shared" si="166"/>
        <v>4</v>
      </c>
      <c r="BB92" s="133">
        <f t="shared" si="166"/>
        <v>2</v>
      </c>
      <c r="BC92" s="133">
        <f t="shared" si="166"/>
        <v>3</v>
      </c>
      <c r="BD92" s="133">
        <f t="shared" si="166"/>
        <v>4</v>
      </c>
      <c r="BE92" s="133">
        <f t="shared" si="166"/>
        <v>3</v>
      </c>
      <c r="BF92" s="133">
        <f t="shared" si="166"/>
        <v>2</v>
      </c>
      <c r="BG92" s="133">
        <f t="shared" si="166"/>
        <v>3</v>
      </c>
      <c r="BH92" s="133">
        <f t="shared" si="166"/>
        <v>3</v>
      </c>
      <c r="BI92" s="133">
        <f t="shared" si="166"/>
        <v>4</v>
      </c>
      <c r="BJ92" s="133">
        <f t="shared" si="166"/>
        <v>2</v>
      </c>
      <c r="BK92" s="133">
        <f t="shared" si="166"/>
        <v>4</v>
      </c>
      <c r="BL92" s="133">
        <f t="shared" si="166"/>
        <v>3</v>
      </c>
      <c r="BM92" s="133"/>
      <c r="BN92" s="133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133"/>
      <c r="BZ92" s="133"/>
      <c r="CA92" s="133"/>
      <c r="CB92" s="133"/>
      <c r="CC92" s="133"/>
      <c r="CD92" s="133"/>
      <c r="CE92" s="133"/>
    </row>
    <row r="93">
      <c r="A93" s="128" t="s">
        <v>41</v>
      </c>
      <c r="B93" s="129">
        <v>5.0</v>
      </c>
      <c r="C93" s="129">
        <v>1.0</v>
      </c>
      <c r="D93" s="130" t="s">
        <v>75</v>
      </c>
      <c r="E93" s="130" t="s">
        <v>78</v>
      </c>
      <c r="F93" s="130" t="s">
        <v>77</v>
      </c>
      <c r="G93" s="130" t="s">
        <v>78</v>
      </c>
      <c r="H93" s="130" t="s">
        <v>77</v>
      </c>
      <c r="I93" s="130" t="s">
        <v>79</v>
      </c>
      <c r="J93" s="130" t="s">
        <v>77</v>
      </c>
      <c r="K93" s="130" t="s">
        <v>79</v>
      </c>
      <c r="L93" s="130" t="s">
        <v>78</v>
      </c>
      <c r="M93" s="130" t="s">
        <v>77</v>
      </c>
      <c r="N93" s="130" t="s">
        <v>76</v>
      </c>
      <c r="O93" s="130" t="s">
        <v>77</v>
      </c>
      <c r="P93" s="130" t="s">
        <v>78</v>
      </c>
      <c r="Q93" s="130" t="s">
        <v>79</v>
      </c>
      <c r="R93" s="130" t="s">
        <v>76</v>
      </c>
      <c r="S93" s="131">
        <f t="shared" ref="S93:AG93" si="167">COLUMN(INDIRECT(D93&amp;4))</f>
        <v>4</v>
      </c>
      <c r="T93" s="131">
        <f t="shared" si="167"/>
        <v>3</v>
      </c>
      <c r="U93" s="131">
        <f t="shared" si="167"/>
        <v>1</v>
      </c>
      <c r="V93" s="131">
        <f t="shared" si="167"/>
        <v>3</v>
      </c>
      <c r="W93" s="131">
        <f t="shared" si="167"/>
        <v>1</v>
      </c>
      <c r="X93" s="131">
        <f t="shared" si="167"/>
        <v>2</v>
      </c>
      <c r="Y93" s="131">
        <f t="shared" si="167"/>
        <v>1</v>
      </c>
      <c r="Z93" s="131">
        <f t="shared" si="167"/>
        <v>2</v>
      </c>
      <c r="AA93" s="131">
        <f t="shared" si="167"/>
        <v>3</v>
      </c>
      <c r="AB93" s="131">
        <f t="shared" si="167"/>
        <v>1</v>
      </c>
      <c r="AC93" s="131">
        <f t="shared" si="167"/>
        <v>5</v>
      </c>
      <c r="AD93" s="131">
        <f t="shared" si="167"/>
        <v>1</v>
      </c>
      <c r="AE93" s="131">
        <f t="shared" si="167"/>
        <v>3</v>
      </c>
      <c r="AF93" s="131">
        <f t="shared" si="167"/>
        <v>2</v>
      </c>
      <c r="AG93" s="131">
        <f t="shared" si="167"/>
        <v>5</v>
      </c>
      <c r="AH93" s="132">
        <v>2.0</v>
      </c>
      <c r="AI93" s="130" t="s">
        <v>77</v>
      </c>
      <c r="AJ93" s="130" t="s">
        <v>79</v>
      </c>
      <c r="AK93" s="130" t="s">
        <v>76</v>
      </c>
      <c r="AL93" s="130" t="s">
        <v>75</v>
      </c>
      <c r="AM93" s="130" t="s">
        <v>79</v>
      </c>
      <c r="AN93" s="130" t="s">
        <v>79</v>
      </c>
      <c r="AO93" s="130" t="s">
        <v>77</v>
      </c>
      <c r="AP93" s="130" t="s">
        <v>78</v>
      </c>
      <c r="AQ93" s="130" t="s">
        <v>77</v>
      </c>
      <c r="AR93" s="130" t="s">
        <v>78</v>
      </c>
      <c r="AS93" s="130" t="s">
        <v>77</v>
      </c>
      <c r="AT93" s="130" t="s">
        <v>79</v>
      </c>
      <c r="AU93" s="130" t="s">
        <v>77</v>
      </c>
      <c r="AV93" s="130" t="s">
        <v>78</v>
      </c>
      <c r="AW93" s="130" t="s">
        <v>77</v>
      </c>
      <c r="AX93" s="133">
        <f t="shared" ref="AX93:BL93" si="168">COLUMN(INDIRECT(AI93&amp;1))</f>
        <v>1</v>
      </c>
      <c r="AY93" s="133">
        <f t="shared" si="168"/>
        <v>2</v>
      </c>
      <c r="AZ93" s="133">
        <f t="shared" si="168"/>
        <v>5</v>
      </c>
      <c r="BA93" s="133">
        <f t="shared" si="168"/>
        <v>4</v>
      </c>
      <c r="BB93" s="133">
        <f t="shared" si="168"/>
        <v>2</v>
      </c>
      <c r="BC93" s="133">
        <f t="shared" si="168"/>
        <v>2</v>
      </c>
      <c r="BD93" s="133">
        <f t="shared" si="168"/>
        <v>1</v>
      </c>
      <c r="BE93" s="133">
        <f t="shared" si="168"/>
        <v>3</v>
      </c>
      <c r="BF93" s="133">
        <f t="shared" si="168"/>
        <v>1</v>
      </c>
      <c r="BG93" s="133">
        <f t="shared" si="168"/>
        <v>3</v>
      </c>
      <c r="BH93" s="133">
        <f t="shared" si="168"/>
        <v>1</v>
      </c>
      <c r="BI93" s="133">
        <f t="shared" si="168"/>
        <v>2</v>
      </c>
      <c r="BJ93" s="133">
        <f t="shared" si="168"/>
        <v>1</v>
      </c>
      <c r="BK93" s="133">
        <f t="shared" si="168"/>
        <v>3</v>
      </c>
      <c r="BL93" s="133">
        <f t="shared" si="168"/>
        <v>1</v>
      </c>
      <c r="BM93" s="133"/>
      <c r="BN93" s="133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133"/>
      <c r="BZ93" s="133"/>
      <c r="CA93" s="133"/>
      <c r="CB93" s="133"/>
      <c r="CC93" s="133"/>
      <c r="CD93" s="133"/>
      <c r="CE93" s="133"/>
    </row>
    <row r="94">
      <c r="A94" s="128" t="s">
        <v>42</v>
      </c>
      <c r="B94" s="129">
        <v>5.0</v>
      </c>
      <c r="C94" s="129">
        <v>1.0</v>
      </c>
      <c r="D94" s="130" t="s">
        <v>76</v>
      </c>
      <c r="E94" s="130" t="s">
        <v>75</v>
      </c>
      <c r="F94" s="130" t="s">
        <v>77</v>
      </c>
      <c r="G94" s="130" t="s">
        <v>78</v>
      </c>
      <c r="H94" s="130" t="s">
        <v>77</v>
      </c>
      <c r="I94" s="130" t="s">
        <v>77</v>
      </c>
      <c r="J94" s="130" t="s">
        <v>79</v>
      </c>
      <c r="K94" s="130" t="s">
        <v>75</v>
      </c>
      <c r="L94" s="130" t="s">
        <v>76</v>
      </c>
      <c r="M94" s="130" t="s">
        <v>77</v>
      </c>
      <c r="N94" s="130" t="s">
        <v>79</v>
      </c>
      <c r="O94" s="130" t="s">
        <v>77</v>
      </c>
      <c r="P94" s="130" t="s">
        <v>75</v>
      </c>
      <c r="Q94" s="130" t="s">
        <v>78</v>
      </c>
      <c r="R94" s="130" t="s">
        <v>76</v>
      </c>
      <c r="S94" s="131">
        <f t="shared" ref="S94:AG94" si="169">COLUMN(INDIRECT(D94&amp;4))</f>
        <v>5</v>
      </c>
      <c r="T94" s="131">
        <f t="shared" si="169"/>
        <v>4</v>
      </c>
      <c r="U94" s="131">
        <f t="shared" si="169"/>
        <v>1</v>
      </c>
      <c r="V94" s="131">
        <f t="shared" si="169"/>
        <v>3</v>
      </c>
      <c r="W94" s="131">
        <f t="shared" si="169"/>
        <v>1</v>
      </c>
      <c r="X94" s="131">
        <f t="shared" si="169"/>
        <v>1</v>
      </c>
      <c r="Y94" s="131">
        <f t="shared" si="169"/>
        <v>2</v>
      </c>
      <c r="Z94" s="131">
        <f t="shared" si="169"/>
        <v>4</v>
      </c>
      <c r="AA94" s="131">
        <f t="shared" si="169"/>
        <v>5</v>
      </c>
      <c r="AB94" s="131">
        <f t="shared" si="169"/>
        <v>1</v>
      </c>
      <c r="AC94" s="131">
        <f t="shared" si="169"/>
        <v>2</v>
      </c>
      <c r="AD94" s="131">
        <f t="shared" si="169"/>
        <v>1</v>
      </c>
      <c r="AE94" s="131">
        <f t="shared" si="169"/>
        <v>4</v>
      </c>
      <c r="AF94" s="131">
        <f t="shared" si="169"/>
        <v>3</v>
      </c>
      <c r="AG94" s="131">
        <f t="shared" si="169"/>
        <v>5</v>
      </c>
      <c r="AH94" s="132">
        <v>2.0</v>
      </c>
      <c r="AI94" s="130" t="s">
        <v>78</v>
      </c>
      <c r="AJ94" s="130" t="s">
        <v>77</v>
      </c>
      <c r="AK94" s="130" t="s">
        <v>76</v>
      </c>
      <c r="AL94" s="130" t="s">
        <v>76</v>
      </c>
      <c r="AM94" s="130" t="s">
        <v>75</v>
      </c>
      <c r="AN94" s="130" t="s">
        <v>77</v>
      </c>
      <c r="AO94" s="130" t="s">
        <v>77</v>
      </c>
      <c r="AP94" s="130" t="s">
        <v>79</v>
      </c>
      <c r="AQ94" s="130" t="s">
        <v>78</v>
      </c>
      <c r="AR94" s="130" t="s">
        <v>75</v>
      </c>
      <c r="AS94" s="130" t="s">
        <v>77</v>
      </c>
      <c r="AT94" s="130" t="s">
        <v>75</v>
      </c>
      <c r="AU94" s="130" t="s">
        <v>77</v>
      </c>
      <c r="AV94" s="130" t="s">
        <v>79</v>
      </c>
      <c r="AW94" s="130" t="s">
        <v>79</v>
      </c>
      <c r="AX94" s="133">
        <f t="shared" ref="AX94:BL94" si="170">COLUMN(INDIRECT(AI94&amp;1))</f>
        <v>3</v>
      </c>
      <c r="AY94" s="133">
        <f t="shared" si="170"/>
        <v>1</v>
      </c>
      <c r="AZ94" s="133">
        <f t="shared" si="170"/>
        <v>5</v>
      </c>
      <c r="BA94" s="133">
        <f t="shared" si="170"/>
        <v>5</v>
      </c>
      <c r="BB94" s="133">
        <f t="shared" si="170"/>
        <v>4</v>
      </c>
      <c r="BC94" s="133">
        <f t="shared" si="170"/>
        <v>1</v>
      </c>
      <c r="BD94" s="133">
        <f t="shared" si="170"/>
        <v>1</v>
      </c>
      <c r="BE94" s="133">
        <f t="shared" si="170"/>
        <v>2</v>
      </c>
      <c r="BF94" s="133">
        <f t="shared" si="170"/>
        <v>3</v>
      </c>
      <c r="BG94" s="133">
        <f t="shared" si="170"/>
        <v>4</v>
      </c>
      <c r="BH94" s="133">
        <f t="shared" si="170"/>
        <v>1</v>
      </c>
      <c r="BI94" s="133">
        <f t="shared" si="170"/>
        <v>4</v>
      </c>
      <c r="BJ94" s="133">
        <f t="shared" si="170"/>
        <v>1</v>
      </c>
      <c r="BK94" s="133">
        <f t="shared" si="170"/>
        <v>2</v>
      </c>
      <c r="BL94" s="133">
        <f t="shared" si="170"/>
        <v>2</v>
      </c>
      <c r="BM94" s="133"/>
      <c r="BN94" s="133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133"/>
      <c r="BZ94" s="133"/>
      <c r="CA94" s="133"/>
      <c r="CB94" s="133"/>
      <c r="CC94" s="133"/>
      <c r="CD94" s="133"/>
      <c r="CE94" s="133"/>
    </row>
    <row r="95">
      <c r="A95" s="128" t="s">
        <v>43</v>
      </c>
      <c r="B95" s="129">
        <v>5.0</v>
      </c>
      <c r="C95" s="129">
        <v>1.0</v>
      </c>
      <c r="D95" s="130" t="s">
        <v>75</v>
      </c>
      <c r="E95" s="130" t="s">
        <v>78</v>
      </c>
      <c r="F95" s="130" t="s">
        <v>77</v>
      </c>
      <c r="G95" s="130" t="s">
        <v>78</v>
      </c>
      <c r="H95" s="130" t="s">
        <v>77</v>
      </c>
      <c r="I95" s="130" t="s">
        <v>77</v>
      </c>
      <c r="J95" s="130" t="s">
        <v>77</v>
      </c>
      <c r="K95" s="130" t="s">
        <v>78</v>
      </c>
      <c r="L95" s="130" t="s">
        <v>75</v>
      </c>
      <c r="M95" s="130" t="s">
        <v>77</v>
      </c>
      <c r="N95" s="130" t="s">
        <v>76</v>
      </c>
      <c r="O95" s="130" t="s">
        <v>77</v>
      </c>
      <c r="P95" s="130" t="s">
        <v>76</v>
      </c>
      <c r="Q95" s="130" t="s">
        <v>78</v>
      </c>
      <c r="R95" s="130" t="s">
        <v>76</v>
      </c>
      <c r="S95" s="131">
        <f t="shared" ref="S95:AG95" si="171">COLUMN(INDIRECT(D95&amp;4))</f>
        <v>4</v>
      </c>
      <c r="T95" s="131">
        <f t="shared" si="171"/>
        <v>3</v>
      </c>
      <c r="U95" s="131">
        <f t="shared" si="171"/>
        <v>1</v>
      </c>
      <c r="V95" s="131">
        <f t="shared" si="171"/>
        <v>3</v>
      </c>
      <c r="W95" s="131">
        <f t="shared" si="171"/>
        <v>1</v>
      </c>
      <c r="X95" s="131">
        <f t="shared" si="171"/>
        <v>1</v>
      </c>
      <c r="Y95" s="131">
        <f t="shared" si="171"/>
        <v>1</v>
      </c>
      <c r="Z95" s="131">
        <f t="shared" si="171"/>
        <v>3</v>
      </c>
      <c r="AA95" s="131">
        <f t="shared" si="171"/>
        <v>4</v>
      </c>
      <c r="AB95" s="131">
        <f t="shared" si="171"/>
        <v>1</v>
      </c>
      <c r="AC95" s="131">
        <f t="shared" si="171"/>
        <v>5</v>
      </c>
      <c r="AD95" s="131">
        <f t="shared" si="171"/>
        <v>1</v>
      </c>
      <c r="AE95" s="131">
        <f t="shared" si="171"/>
        <v>5</v>
      </c>
      <c r="AF95" s="131">
        <f t="shared" si="171"/>
        <v>3</v>
      </c>
      <c r="AG95" s="131">
        <f t="shared" si="171"/>
        <v>5</v>
      </c>
      <c r="AH95" s="132">
        <v>2.0</v>
      </c>
      <c r="AI95" s="130" t="s">
        <v>77</v>
      </c>
      <c r="AJ95" s="130" t="s">
        <v>79</v>
      </c>
      <c r="AK95" s="130" t="s">
        <v>75</v>
      </c>
      <c r="AL95" s="130" t="s">
        <v>78</v>
      </c>
      <c r="AM95" s="130" t="s">
        <v>77</v>
      </c>
      <c r="AN95" s="130" t="s">
        <v>78</v>
      </c>
      <c r="AO95" s="130" t="s">
        <v>77</v>
      </c>
      <c r="AP95" s="130" t="s">
        <v>75</v>
      </c>
      <c r="AQ95" s="130" t="s">
        <v>77</v>
      </c>
      <c r="AR95" s="130" t="s">
        <v>75</v>
      </c>
      <c r="AS95" s="130" t="s">
        <v>78</v>
      </c>
      <c r="AT95" s="130" t="s">
        <v>78</v>
      </c>
      <c r="AU95" s="130" t="s">
        <v>79</v>
      </c>
      <c r="AV95" s="130" t="s">
        <v>75</v>
      </c>
      <c r="AW95" s="130" t="s">
        <v>77</v>
      </c>
      <c r="AX95" s="133">
        <f t="shared" ref="AX95:BL95" si="172">COLUMN(INDIRECT(AI95&amp;1))</f>
        <v>1</v>
      </c>
      <c r="AY95" s="133">
        <f t="shared" si="172"/>
        <v>2</v>
      </c>
      <c r="AZ95" s="133">
        <f t="shared" si="172"/>
        <v>4</v>
      </c>
      <c r="BA95" s="133">
        <f t="shared" si="172"/>
        <v>3</v>
      </c>
      <c r="BB95" s="133">
        <f t="shared" si="172"/>
        <v>1</v>
      </c>
      <c r="BC95" s="133">
        <f t="shared" si="172"/>
        <v>3</v>
      </c>
      <c r="BD95" s="133">
        <f t="shared" si="172"/>
        <v>1</v>
      </c>
      <c r="BE95" s="133">
        <f t="shared" si="172"/>
        <v>4</v>
      </c>
      <c r="BF95" s="133">
        <f t="shared" si="172"/>
        <v>1</v>
      </c>
      <c r="BG95" s="133">
        <f t="shared" si="172"/>
        <v>4</v>
      </c>
      <c r="BH95" s="133">
        <f t="shared" si="172"/>
        <v>3</v>
      </c>
      <c r="BI95" s="133">
        <f t="shared" si="172"/>
        <v>3</v>
      </c>
      <c r="BJ95" s="133">
        <f t="shared" si="172"/>
        <v>2</v>
      </c>
      <c r="BK95" s="133">
        <f t="shared" si="172"/>
        <v>4</v>
      </c>
      <c r="BL95" s="133">
        <f t="shared" si="172"/>
        <v>1</v>
      </c>
      <c r="BM95" s="133"/>
      <c r="BN95" s="133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133"/>
      <c r="BZ95" s="133"/>
      <c r="CA95" s="133"/>
      <c r="CB95" s="133"/>
      <c r="CC95" s="133"/>
      <c r="CD95" s="133"/>
      <c r="CE95" s="133"/>
    </row>
    <row r="96">
      <c r="A96" s="135" t="s">
        <v>146</v>
      </c>
      <c r="B96" s="136">
        <v>5.0</v>
      </c>
      <c r="C96" s="136" t="s">
        <v>96</v>
      </c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7">
        <f t="shared" ref="S96:AG96" si="173">SUM(S84:S95)/12</f>
        <v>4.166666667</v>
      </c>
      <c r="T96" s="137">
        <f t="shared" si="173"/>
        <v>3.083333333</v>
      </c>
      <c r="U96" s="137">
        <f t="shared" si="173"/>
        <v>1.333333333</v>
      </c>
      <c r="V96" s="137">
        <f t="shared" si="173"/>
        <v>3</v>
      </c>
      <c r="W96" s="137">
        <f t="shared" si="173"/>
        <v>1.916666667</v>
      </c>
      <c r="X96" s="137">
        <f t="shared" si="173"/>
        <v>2.083333333</v>
      </c>
      <c r="Y96" s="137">
        <f t="shared" si="173"/>
        <v>1.5</v>
      </c>
      <c r="Z96" s="137">
        <f t="shared" si="173"/>
        <v>3.416666667</v>
      </c>
      <c r="AA96" s="137">
        <f t="shared" si="173"/>
        <v>3.833333333</v>
      </c>
      <c r="AB96" s="137">
        <f t="shared" si="173"/>
        <v>1.75</v>
      </c>
      <c r="AC96" s="137">
        <f t="shared" si="173"/>
        <v>4.416666667</v>
      </c>
      <c r="AD96" s="137">
        <f t="shared" si="173"/>
        <v>2.5</v>
      </c>
      <c r="AE96" s="137">
        <f t="shared" si="173"/>
        <v>3.833333333</v>
      </c>
      <c r="AF96" s="137">
        <f t="shared" si="173"/>
        <v>2.25</v>
      </c>
      <c r="AG96" s="137">
        <f t="shared" si="173"/>
        <v>4.833333333</v>
      </c>
      <c r="AH96" s="137" t="s">
        <v>96</v>
      </c>
      <c r="AI96" s="138">
        <f t="shared" ref="AI96:BL96" si="174">SUM(AI84:AI95)/12</f>
        <v>0</v>
      </c>
      <c r="AJ96" s="138">
        <f t="shared" si="174"/>
        <v>0</v>
      </c>
      <c r="AK96" s="138">
        <f t="shared" si="174"/>
        <v>0</v>
      </c>
      <c r="AL96" s="138">
        <f t="shared" si="174"/>
        <v>0</v>
      </c>
      <c r="AM96" s="138">
        <f t="shared" si="174"/>
        <v>0</v>
      </c>
      <c r="AN96" s="138">
        <f t="shared" si="174"/>
        <v>0</v>
      </c>
      <c r="AO96" s="138">
        <f t="shared" si="174"/>
        <v>0</v>
      </c>
      <c r="AP96" s="138">
        <f t="shared" si="174"/>
        <v>0</v>
      </c>
      <c r="AQ96" s="138">
        <f t="shared" si="174"/>
        <v>0</v>
      </c>
      <c r="AR96" s="138">
        <f t="shared" si="174"/>
        <v>0</v>
      </c>
      <c r="AS96" s="138">
        <f t="shared" si="174"/>
        <v>0</v>
      </c>
      <c r="AT96" s="138">
        <f t="shared" si="174"/>
        <v>0</v>
      </c>
      <c r="AU96" s="138">
        <f t="shared" si="174"/>
        <v>0</v>
      </c>
      <c r="AV96" s="138">
        <f t="shared" si="174"/>
        <v>0</v>
      </c>
      <c r="AW96" s="138">
        <f t="shared" si="174"/>
        <v>0</v>
      </c>
      <c r="AX96" s="137">
        <f t="shared" si="174"/>
        <v>1.333333333</v>
      </c>
      <c r="AY96" s="137">
        <f t="shared" si="174"/>
        <v>2</v>
      </c>
      <c r="AZ96" s="137">
        <f t="shared" si="174"/>
        <v>4.333333333</v>
      </c>
      <c r="BA96" s="137">
        <f t="shared" si="174"/>
        <v>4</v>
      </c>
      <c r="BB96" s="137">
        <f t="shared" si="174"/>
        <v>2.083333333</v>
      </c>
      <c r="BC96" s="137">
        <f t="shared" si="174"/>
        <v>2.333333333</v>
      </c>
      <c r="BD96" s="137">
        <f t="shared" si="174"/>
        <v>1.666666667</v>
      </c>
      <c r="BE96" s="137">
        <f t="shared" si="174"/>
        <v>3.5</v>
      </c>
      <c r="BF96" s="137">
        <f t="shared" si="174"/>
        <v>1.833333333</v>
      </c>
      <c r="BG96" s="137">
        <f t="shared" si="174"/>
        <v>3.666666667</v>
      </c>
      <c r="BH96" s="137">
        <f t="shared" si="174"/>
        <v>1.833333333</v>
      </c>
      <c r="BI96" s="137">
        <f t="shared" si="174"/>
        <v>3.333333333</v>
      </c>
      <c r="BJ96" s="137">
        <f t="shared" si="174"/>
        <v>2.416666667</v>
      </c>
      <c r="BK96" s="137">
        <f t="shared" si="174"/>
        <v>2.833333333</v>
      </c>
      <c r="BL96" s="137">
        <f t="shared" si="174"/>
        <v>2.166666667</v>
      </c>
      <c r="BM96" s="133"/>
      <c r="BN96" s="133"/>
      <c r="BO96" s="31">
        <v>8.0</v>
      </c>
      <c r="BP96" s="31">
        <v>5.0</v>
      </c>
      <c r="BQ96" s="31">
        <f t="shared" ref="BQ96:BT96" si="175">SUM(BX56+BX103+BX108)/3</f>
        <v>4.4</v>
      </c>
      <c r="BR96" s="31">
        <f t="shared" si="175"/>
        <v>2.977777778</v>
      </c>
      <c r="BS96" s="31">
        <f t="shared" si="175"/>
        <v>2.733333333</v>
      </c>
      <c r="BT96" s="31">
        <f t="shared" si="175"/>
        <v>2.824444444</v>
      </c>
      <c r="BU96" s="31" t="str">
        <f>SUM(#REF!+#REF!+#REF!)/3</f>
        <v>#REF!</v>
      </c>
      <c r="BV96" s="31">
        <f>SUM(CB56+CB103+CB108)/3</f>
        <v>0</v>
      </c>
      <c r="BW96" s="31">
        <v>9.0</v>
      </c>
      <c r="BX96" s="31">
        <f>SUM(T14+Y34+BE56+AG76+T96)/5</f>
        <v>3.933333333</v>
      </c>
      <c r="BY96" s="133"/>
      <c r="BZ96" s="133"/>
      <c r="CA96" s="133"/>
      <c r="CB96" s="133"/>
      <c r="CC96" s="133"/>
      <c r="CD96" s="133"/>
      <c r="CE96" s="133"/>
    </row>
    <row r="97">
      <c r="A97" s="135" t="s">
        <v>140</v>
      </c>
      <c r="B97" s="136">
        <v>5.0</v>
      </c>
      <c r="C97" s="136">
        <v>2.0</v>
      </c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>
        <f t="shared" ref="S97:BL97" si="176">SUM(S84:S89)/6</f>
        <v>4.5</v>
      </c>
      <c r="T97" s="136">
        <f t="shared" si="176"/>
        <v>3.333333333</v>
      </c>
      <c r="U97" s="136">
        <f t="shared" si="176"/>
        <v>1.666666667</v>
      </c>
      <c r="V97" s="136">
        <f t="shared" si="176"/>
        <v>3.5</v>
      </c>
      <c r="W97" s="136">
        <f t="shared" si="176"/>
        <v>2.5</v>
      </c>
      <c r="X97" s="136">
        <f t="shared" si="176"/>
        <v>2.5</v>
      </c>
      <c r="Y97" s="136">
        <f t="shared" si="176"/>
        <v>1.333333333</v>
      </c>
      <c r="Z97" s="136">
        <f t="shared" si="176"/>
        <v>3.333333333</v>
      </c>
      <c r="AA97" s="136">
        <f t="shared" si="176"/>
        <v>4.166666667</v>
      </c>
      <c r="AB97" s="136">
        <f t="shared" si="176"/>
        <v>1.666666667</v>
      </c>
      <c r="AC97" s="136">
        <f t="shared" si="176"/>
        <v>4.666666667</v>
      </c>
      <c r="AD97" s="136">
        <f t="shared" si="176"/>
        <v>3.166666667</v>
      </c>
      <c r="AE97" s="136">
        <f t="shared" si="176"/>
        <v>3.666666667</v>
      </c>
      <c r="AF97" s="136">
        <f t="shared" si="176"/>
        <v>2.5</v>
      </c>
      <c r="AG97" s="136">
        <f t="shared" si="176"/>
        <v>5</v>
      </c>
      <c r="AH97" s="136">
        <f t="shared" si="176"/>
        <v>1</v>
      </c>
      <c r="AI97" s="135">
        <f t="shared" si="176"/>
        <v>0</v>
      </c>
      <c r="AJ97" s="135">
        <f t="shared" si="176"/>
        <v>0</v>
      </c>
      <c r="AK97" s="135">
        <f t="shared" si="176"/>
        <v>0</v>
      </c>
      <c r="AL97" s="135">
        <f t="shared" si="176"/>
        <v>0</v>
      </c>
      <c r="AM97" s="135">
        <f t="shared" si="176"/>
        <v>0</v>
      </c>
      <c r="AN97" s="135">
        <f t="shared" si="176"/>
        <v>0</v>
      </c>
      <c r="AO97" s="135">
        <f t="shared" si="176"/>
        <v>0</v>
      </c>
      <c r="AP97" s="135">
        <f t="shared" si="176"/>
        <v>0</v>
      </c>
      <c r="AQ97" s="135">
        <f t="shared" si="176"/>
        <v>0</v>
      </c>
      <c r="AR97" s="135">
        <f t="shared" si="176"/>
        <v>0</v>
      </c>
      <c r="AS97" s="135">
        <f t="shared" si="176"/>
        <v>0</v>
      </c>
      <c r="AT97" s="135">
        <f t="shared" si="176"/>
        <v>0</v>
      </c>
      <c r="AU97" s="135">
        <f t="shared" si="176"/>
        <v>0</v>
      </c>
      <c r="AV97" s="135">
        <f t="shared" si="176"/>
        <v>0</v>
      </c>
      <c r="AW97" s="135">
        <f t="shared" si="176"/>
        <v>0</v>
      </c>
      <c r="AX97" s="136">
        <f t="shared" si="176"/>
        <v>1.166666667</v>
      </c>
      <c r="AY97" s="136">
        <f t="shared" si="176"/>
        <v>2.166666667</v>
      </c>
      <c r="AZ97" s="136">
        <f t="shared" si="176"/>
        <v>4.333333333</v>
      </c>
      <c r="BA97" s="136">
        <f t="shared" si="176"/>
        <v>4</v>
      </c>
      <c r="BB97" s="136">
        <f t="shared" si="176"/>
        <v>1.666666667</v>
      </c>
      <c r="BC97" s="136">
        <f t="shared" si="176"/>
        <v>2.666666667</v>
      </c>
      <c r="BD97" s="136">
        <f t="shared" si="176"/>
        <v>1.833333333</v>
      </c>
      <c r="BE97" s="136">
        <f t="shared" si="176"/>
        <v>4</v>
      </c>
      <c r="BF97" s="136">
        <f t="shared" si="176"/>
        <v>2</v>
      </c>
      <c r="BG97" s="136">
        <f t="shared" si="176"/>
        <v>3.666666667</v>
      </c>
      <c r="BH97" s="136">
        <f t="shared" si="176"/>
        <v>1.833333333</v>
      </c>
      <c r="BI97" s="136">
        <f t="shared" si="176"/>
        <v>3.166666667</v>
      </c>
      <c r="BJ97" s="136">
        <f t="shared" si="176"/>
        <v>3</v>
      </c>
      <c r="BK97" s="136">
        <f t="shared" si="176"/>
        <v>3.166666667</v>
      </c>
      <c r="BL97" s="136">
        <f t="shared" si="176"/>
        <v>2.666666667</v>
      </c>
      <c r="BM97" s="139">
        <f t="shared" ref="BM97:BM101" si="178">SUM(S97:AG97)+SUM(AX97:BL97)</f>
        <v>88.83333333</v>
      </c>
      <c r="BN97" s="139">
        <f>SUM(C97:AG97)+SUM(AX98:BL98)</f>
        <v>86.83333333</v>
      </c>
      <c r="BO97" s="76"/>
      <c r="BP97" s="76"/>
      <c r="BQ97" s="76"/>
      <c r="BR97" s="76"/>
      <c r="BS97" s="76"/>
      <c r="BT97" s="76"/>
      <c r="BU97" s="76"/>
      <c r="BV97" s="76"/>
      <c r="BW97" s="31">
        <v>9.0</v>
      </c>
      <c r="BX97" s="37"/>
      <c r="BY97" s="139">
        <f>SUM(T15+Y41+BE57+AG77+T97)/5</f>
        <v>4.1</v>
      </c>
      <c r="BZ97" s="139">
        <f>SUM(T16+Y35+BE58+AG78+T98)/5</f>
        <v>3.766666667</v>
      </c>
      <c r="CA97" s="139">
        <f>SUM(T17+Y36+BE59+AG79+T99)/5</f>
        <v>4.08</v>
      </c>
      <c r="CB97" s="92"/>
      <c r="CC97" s="133"/>
      <c r="CD97" s="133"/>
      <c r="CE97" s="133"/>
    </row>
    <row r="98">
      <c r="A98" s="135" t="s">
        <v>141</v>
      </c>
      <c r="B98" s="136">
        <v>5.0</v>
      </c>
      <c r="C98" s="136">
        <v>1.0</v>
      </c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>
        <f t="shared" ref="S98:BL98" si="177">SUM(S90:S95)/6</f>
        <v>3.833333333</v>
      </c>
      <c r="T98" s="136">
        <f t="shared" si="177"/>
        <v>2.833333333</v>
      </c>
      <c r="U98" s="136">
        <f t="shared" si="177"/>
        <v>1</v>
      </c>
      <c r="V98" s="136">
        <f t="shared" si="177"/>
        <v>2.5</v>
      </c>
      <c r="W98" s="136">
        <f t="shared" si="177"/>
        <v>1.333333333</v>
      </c>
      <c r="X98" s="136">
        <f t="shared" si="177"/>
        <v>1.666666667</v>
      </c>
      <c r="Y98" s="136">
        <f t="shared" si="177"/>
        <v>1.666666667</v>
      </c>
      <c r="Z98" s="136">
        <f t="shared" si="177"/>
        <v>3.5</v>
      </c>
      <c r="AA98" s="136">
        <f t="shared" si="177"/>
        <v>3.5</v>
      </c>
      <c r="AB98" s="136">
        <f t="shared" si="177"/>
        <v>1.833333333</v>
      </c>
      <c r="AC98" s="136">
        <f t="shared" si="177"/>
        <v>4.166666667</v>
      </c>
      <c r="AD98" s="136">
        <f t="shared" si="177"/>
        <v>1.833333333</v>
      </c>
      <c r="AE98" s="136">
        <f t="shared" si="177"/>
        <v>4</v>
      </c>
      <c r="AF98" s="136">
        <f t="shared" si="177"/>
        <v>2</v>
      </c>
      <c r="AG98" s="136">
        <f t="shared" si="177"/>
        <v>4.666666667</v>
      </c>
      <c r="AH98" s="136">
        <f t="shared" si="177"/>
        <v>2</v>
      </c>
      <c r="AI98" s="135">
        <f t="shared" si="177"/>
        <v>0</v>
      </c>
      <c r="AJ98" s="135">
        <f t="shared" si="177"/>
        <v>0</v>
      </c>
      <c r="AK98" s="135">
        <f t="shared" si="177"/>
        <v>0</v>
      </c>
      <c r="AL98" s="135">
        <f t="shared" si="177"/>
        <v>0</v>
      </c>
      <c r="AM98" s="135">
        <f t="shared" si="177"/>
        <v>0</v>
      </c>
      <c r="AN98" s="135">
        <f t="shared" si="177"/>
        <v>0</v>
      </c>
      <c r="AO98" s="135">
        <f t="shared" si="177"/>
        <v>0</v>
      </c>
      <c r="AP98" s="135">
        <f t="shared" si="177"/>
        <v>0</v>
      </c>
      <c r="AQ98" s="135">
        <f t="shared" si="177"/>
        <v>0</v>
      </c>
      <c r="AR98" s="135">
        <f t="shared" si="177"/>
        <v>0</v>
      </c>
      <c r="AS98" s="135">
        <f t="shared" si="177"/>
        <v>0</v>
      </c>
      <c r="AT98" s="135">
        <f t="shared" si="177"/>
        <v>0</v>
      </c>
      <c r="AU98" s="135">
        <f t="shared" si="177"/>
        <v>0</v>
      </c>
      <c r="AV98" s="135">
        <f t="shared" si="177"/>
        <v>0</v>
      </c>
      <c r="AW98" s="135">
        <f t="shared" si="177"/>
        <v>0</v>
      </c>
      <c r="AX98" s="136">
        <f t="shared" si="177"/>
        <v>1.5</v>
      </c>
      <c r="AY98" s="136">
        <f t="shared" si="177"/>
        <v>1.833333333</v>
      </c>
      <c r="AZ98" s="136">
        <f t="shared" si="177"/>
        <v>4.333333333</v>
      </c>
      <c r="BA98" s="136">
        <f t="shared" si="177"/>
        <v>4</v>
      </c>
      <c r="BB98" s="136">
        <f t="shared" si="177"/>
        <v>2.5</v>
      </c>
      <c r="BC98" s="136">
        <f t="shared" si="177"/>
        <v>2</v>
      </c>
      <c r="BD98" s="136">
        <f t="shared" si="177"/>
        <v>1.5</v>
      </c>
      <c r="BE98" s="136">
        <f t="shared" si="177"/>
        <v>3</v>
      </c>
      <c r="BF98" s="136">
        <f t="shared" si="177"/>
        <v>1.666666667</v>
      </c>
      <c r="BG98" s="136">
        <f t="shared" si="177"/>
        <v>3.666666667</v>
      </c>
      <c r="BH98" s="136">
        <f t="shared" si="177"/>
        <v>1.833333333</v>
      </c>
      <c r="BI98" s="136">
        <f t="shared" si="177"/>
        <v>3.5</v>
      </c>
      <c r="BJ98" s="136">
        <f t="shared" si="177"/>
        <v>1.833333333</v>
      </c>
      <c r="BK98" s="136">
        <f t="shared" si="177"/>
        <v>2.5</v>
      </c>
      <c r="BL98" s="136">
        <f t="shared" si="177"/>
        <v>1.666666667</v>
      </c>
      <c r="BM98" s="139">
        <f t="shared" si="178"/>
        <v>77.66666667</v>
      </c>
      <c r="BN98" s="139">
        <f>SUM(C98:AG98)+SUM(AX97:BL97)</f>
        <v>82.66666667</v>
      </c>
      <c r="BO98" s="76"/>
      <c r="BP98" s="76"/>
      <c r="BQ98" s="76"/>
      <c r="BR98" s="76"/>
      <c r="BS98" s="76"/>
      <c r="BT98" s="76"/>
      <c r="BU98" s="76"/>
      <c r="BV98" s="76"/>
      <c r="BW98" s="31">
        <v>7.0</v>
      </c>
      <c r="BX98" s="37"/>
      <c r="BY98" s="139"/>
      <c r="BZ98" s="139"/>
      <c r="CA98" s="139"/>
      <c r="CB98" s="139"/>
      <c r="CC98" s="133"/>
      <c r="CD98" s="133"/>
      <c r="CE98" s="133"/>
    </row>
    <row r="99">
      <c r="A99" s="135" t="s">
        <v>142</v>
      </c>
      <c r="B99" s="136">
        <v>5.0</v>
      </c>
      <c r="C99" s="136">
        <v>2.0</v>
      </c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>
        <f t="shared" ref="S99:BL99" si="179">SUM(S84:S89)/6</f>
        <v>4.5</v>
      </c>
      <c r="T99" s="136">
        <f t="shared" si="179"/>
        <v>3.333333333</v>
      </c>
      <c r="U99" s="136">
        <f t="shared" si="179"/>
        <v>1.666666667</v>
      </c>
      <c r="V99" s="136">
        <f t="shared" si="179"/>
        <v>3.5</v>
      </c>
      <c r="W99" s="136">
        <f t="shared" si="179"/>
        <v>2.5</v>
      </c>
      <c r="X99" s="136">
        <f t="shared" si="179"/>
        <v>2.5</v>
      </c>
      <c r="Y99" s="136">
        <f t="shared" si="179"/>
        <v>1.333333333</v>
      </c>
      <c r="Z99" s="136">
        <f t="shared" si="179"/>
        <v>3.333333333</v>
      </c>
      <c r="AA99" s="136">
        <f t="shared" si="179"/>
        <v>4.166666667</v>
      </c>
      <c r="AB99" s="136">
        <f t="shared" si="179"/>
        <v>1.666666667</v>
      </c>
      <c r="AC99" s="136">
        <f t="shared" si="179"/>
        <v>4.666666667</v>
      </c>
      <c r="AD99" s="136">
        <f t="shared" si="179"/>
        <v>3.166666667</v>
      </c>
      <c r="AE99" s="136">
        <f t="shared" si="179"/>
        <v>3.666666667</v>
      </c>
      <c r="AF99" s="136">
        <f t="shared" si="179"/>
        <v>2.5</v>
      </c>
      <c r="AG99" s="136">
        <f t="shared" si="179"/>
        <v>5</v>
      </c>
      <c r="AH99" s="136">
        <f t="shared" si="179"/>
        <v>1</v>
      </c>
      <c r="AI99" s="135">
        <f t="shared" si="179"/>
        <v>0</v>
      </c>
      <c r="AJ99" s="135">
        <f t="shared" si="179"/>
        <v>0</v>
      </c>
      <c r="AK99" s="135">
        <f t="shared" si="179"/>
        <v>0</v>
      </c>
      <c r="AL99" s="135">
        <f t="shared" si="179"/>
        <v>0</v>
      </c>
      <c r="AM99" s="135">
        <f t="shared" si="179"/>
        <v>0</v>
      </c>
      <c r="AN99" s="135">
        <f t="shared" si="179"/>
        <v>0</v>
      </c>
      <c r="AO99" s="135">
        <f t="shared" si="179"/>
        <v>0</v>
      </c>
      <c r="AP99" s="135">
        <f t="shared" si="179"/>
        <v>0</v>
      </c>
      <c r="AQ99" s="135">
        <f t="shared" si="179"/>
        <v>0</v>
      </c>
      <c r="AR99" s="135">
        <f t="shared" si="179"/>
        <v>0</v>
      </c>
      <c r="AS99" s="135">
        <f t="shared" si="179"/>
        <v>0</v>
      </c>
      <c r="AT99" s="135">
        <f t="shared" si="179"/>
        <v>0</v>
      </c>
      <c r="AU99" s="135">
        <f t="shared" si="179"/>
        <v>0</v>
      </c>
      <c r="AV99" s="135">
        <f t="shared" si="179"/>
        <v>0</v>
      </c>
      <c r="AW99" s="135">
        <f t="shared" si="179"/>
        <v>0</v>
      </c>
      <c r="AX99" s="136">
        <f t="shared" si="179"/>
        <v>1.166666667</v>
      </c>
      <c r="AY99" s="136">
        <f t="shared" si="179"/>
        <v>2.166666667</v>
      </c>
      <c r="AZ99" s="136">
        <f t="shared" si="179"/>
        <v>4.333333333</v>
      </c>
      <c r="BA99" s="136">
        <f t="shared" si="179"/>
        <v>4</v>
      </c>
      <c r="BB99" s="136">
        <f t="shared" si="179"/>
        <v>1.666666667</v>
      </c>
      <c r="BC99" s="136">
        <f t="shared" si="179"/>
        <v>2.666666667</v>
      </c>
      <c r="BD99" s="136">
        <f t="shared" si="179"/>
        <v>1.833333333</v>
      </c>
      <c r="BE99" s="136">
        <f t="shared" si="179"/>
        <v>4</v>
      </c>
      <c r="BF99" s="136">
        <f t="shared" si="179"/>
        <v>2</v>
      </c>
      <c r="BG99" s="136">
        <f t="shared" si="179"/>
        <v>3.666666667</v>
      </c>
      <c r="BH99" s="136">
        <f t="shared" si="179"/>
        <v>1.833333333</v>
      </c>
      <c r="BI99" s="136">
        <f t="shared" si="179"/>
        <v>3.166666667</v>
      </c>
      <c r="BJ99" s="136">
        <f t="shared" si="179"/>
        <v>3</v>
      </c>
      <c r="BK99" s="136">
        <f t="shared" si="179"/>
        <v>3.166666667</v>
      </c>
      <c r="BL99" s="136">
        <f t="shared" si="179"/>
        <v>2.666666667</v>
      </c>
      <c r="BM99" s="139">
        <f t="shared" si="178"/>
        <v>88.83333333</v>
      </c>
      <c r="BN99" s="139">
        <f>SUM(S99:AG99)+SUM(AX100:BL100)</f>
        <v>86</v>
      </c>
      <c r="BO99" s="140"/>
      <c r="BP99" s="140"/>
      <c r="BQ99" s="140"/>
      <c r="BR99" s="140"/>
      <c r="BS99" s="140"/>
      <c r="BT99" s="140"/>
      <c r="BU99" s="140"/>
      <c r="BV99" s="140"/>
      <c r="BW99" s="69"/>
      <c r="BX99" s="37"/>
      <c r="BY99" s="139"/>
      <c r="BZ99" s="139"/>
      <c r="CA99" s="139"/>
      <c r="CB99" s="139"/>
      <c r="CC99" s="133"/>
      <c r="CD99" s="133"/>
      <c r="CE99" s="133"/>
    </row>
    <row r="100">
      <c r="A100" s="135" t="s">
        <v>143</v>
      </c>
      <c r="B100" s="136">
        <v>5.0</v>
      </c>
      <c r="C100" s="136">
        <v>1.0</v>
      </c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>
        <f t="shared" ref="S100:BL100" si="180">SUM(S92:S95)/4</f>
        <v>4.25</v>
      </c>
      <c r="T100" s="136">
        <f t="shared" si="180"/>
        <v>3.25</v>
      </c>
      <c r="U100" s="136">
        <f t="shared" si="180"/>
        <v>1</v>
      </c>
      <c r="V100" s="136">
        <f t="shared" si="180"/>
        <v>3</v>
      </c>
      <c r="W100" s="136">
        <f t="shared" si="180"/>
        <v>1.25</v>
      </c>
      <c r="X100" s="136">
        <f t="shared" si="180"/>
        <v>1.5</v>
      </c>
      <c r="Y100" s="136">
        <f t="shared" si="180"/>
        <v>1.75</v>
      </c>
      <c r="Z100" s="136">
        <f t="shared" si="180"/>
        <v>3.25</v>
      </c>
      <c r="AA100" s="136">
        <f t="shared" si="180"/>
        <v>3.75</v>
      </c>
      <c r="AB100" s="136">
        <f t="shared" si="180"/>
        <v>1.75</v>
      </c>
      <c r="AC100" s="136">
        <f t="shared" si="180"/>
        <v>4.25</v>
      </c>
      <c r="AD100" s="136">
        <f t="shared" si="180"/>
        <v>2</v>
      </c>
      <c r="AE100" s="136">
        <f t="shared" si="180"/>
        <v>4.25</v>
      </c>
      <c r="AF100" s="136">
        <f t="shared" si="180"/>
        <v>2.5</v>
      </c>
      <c r="AG100" s="136">
        <f t="shared" si="180"/>
        <v>5</v>
      </c>
      <c r="AH100" s="136">
        <f t="shared" si="180"/>
        <v>2</v>
      </c>
      <c r="AI100" s="135">
        <f t="shared" si="180"/>
        <v>0</v>
      </c>
      <c r="AJ100" s="135">
        <f t="shared" si="180"/>
        <v>0</v>
      </c>
      <c r="AK100" s="135">
        <f t="shared" si="180"/>
        <v>0</v>
      </c>
      <c r="AL100" s="135">
        <f t="shared" si="180"/>
        <v>0</v>
      </c>
      <c r="AM100" s="135">
        <f t="shared" si="180"/>
        <v>0</v>
      </c>
      <c r="AN100" s="135">
        <f t="shared" si="180"/>
        <v>0</v>
      </c>
      <c r="AO100" s="135">
        <f t="shared" si="180"/>
        <v>0</v>
      </c>
      <c r="AP100" s="135">
        <f t="shared" si="180"/>
        <v>0</v>
      </c>
      <c r="AQ100" s="135">
        <f t="shared" si="180"/>
        <v>0</v>
      </c>
      <c r="AR100" s="135">
        <f t="shared" si="180"/>
        <v>0</v>
      </c>
      <c r="AS100" s="135">
        <f t="shared" si="180"/>
        <v>0</v>
      </c>
      <c r="AT100" s="135">
        <f t="shared" si="180"/>
        <v>0</v>
      </c>
      <c r="AU100" s="135">
        <f t="shared" si="180"/>
        <v>0</v>
      </c>
      <c r="AV100" s="135">
        <f t="shared" si="180"/>
        <v>0</v>
      </c>
      <c r="AW100" s="135">
        <f t="shared" si="180"/>
        <v>0</v>
      </c>
      <c r="AX100" s="136">
        <f t="shared" si="180"/>
        <v>1.75</v>
      </c>
      <c r="AY100" s="136">
        <f t="shared" si="180"/>
        <v>2</v>
      </c>
      <c r="AZ100" s="136">
        <f t="shared" si="180"/>
        <v>4.5</v>
      </c>
      <c r="BA100" s="136">
        <f t="shared" si="180"/>
        <v>4</v>
      </c>
      <c r="BB100" s="136">
        <f t="shared" si="180"/>
        <v>2.25</v>
      </c>
      <c r="BC100" s="136">
        <f t="shared" si="180"/>
        <v>2.25</v>
      </c>
      <c r="BD100" s="136">
        <f t="shared" si="180"/>
        <v>1.75</v>
      </c>
      <c r="BE100" s="136">
        <f t="shared" si="180"/>
        <v>3</v>
      </c>
      <c r="BF100" s="136">
        <f t="shared" si="180"/>
        <v>1.75</v>
      </c>
      <c r="BG100" s="136">
        <f t="shared" si="180"/>
        <v>3.5</v>
      </c>
      <c r="BH100" s="136">
        <f t="shared" si="180"/>
        <v>2</v>
      </c>
      <c r="BI100" s="136">
        <f t="shared" si="180"/>
        <v>3.25</v>
      </c>
      <c r="BJ100" s="136">
        <f t="shared" si="180"/>
        <v>1.5</v>
      </c>
      <c r="BK100" s="136">
        <f t="shared" si="180"/>
        <v>3.25</v>
      </c>
      <c r="BL100" s="136">
        <f t="shared" si="180"/>
        <v>1.75</v>
      </c>
      <c r="BM100" s="139">
        <f t="shared" si="178"/>
        <v>81.25</v>
      </c>
      <c r="BN100" s="139">
        <f t="shared" ref="BN100:BN101" si="182">SUM(S100:AG100)+SUM(AX99:BL99)</f>
        <v>84.08333333</v>
      </c>
      <c r="BO100" s="140"/>
      <c r="BP100" s="140"/>
      <c r="BQ100" s="140"/>
      <c r="BR100" s="140"/>
      <c r="BS100" s="140"/>
      <c r="BT100" s="140"/>
      <c r="BU100" s="140"/>
      <c r="BV100" s="140"/>
      <c r="BW100" s="69"/>
      <c r="BX100" s="37"/>
      <c r="BY100" s="139"/>
      <c r="BZ100" s="139"/>
      <c r="CA100" s="139"/>
      <c r="CB100" s="139"/>
      <c r="CC100" s="133"/>
      <c r="CD100" s="133"/>
      <c r="CE100" s="133"/>
    </row>
    <row r="101">
      <c r="A101" s="135" t="s">
        <v>144</v>
      </c>
      <c r="B101" s="136">
        <v>5.0</v>
      </c>
      <c r="C101" s="136">
        <v>1.0</v>
      </c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>
        <f t="shared" ref="S101:BL101" si="181">SUM(S90:S91)/2</f>
        <v>3</v>
      </c>
      <c r="T101" s="136">
        <f t="shared" si="181"/>
        <v>2</v>
      </c>
      <c r="U101" s="136">
        <f t="shared" si="181"/>
        <v>1</v>
      </c>
      <c r="V101" s="136">
        <f t="shared" si="181"/>
        <v>1.5</v>
      </c>
      <c r="W101" s="136">
        <f t="shared" si="181"/>
        <v>1.5</v>
      </c>
      <c r="X101" s="136">
        <f t="shared" si="181"/>
        <v>2</v>
      </c>
      <c r="Y101" s="136">
        <f t="shared" si="181"/>
        <v>1.5</v>
      </c>
      <c r="Z101" s="136">
        <f t="shared" si="181"/>
        <v>4</v>
      </c>
      <c r="AA101" s="136">
        <f t="shared" si="181"/>
        <v>3</v>
      </c>
      <c r="AB101" s="136">
        <f t="shared" si="181"/>
        <v>2</v>
      </c>
      <c r="AC101" s="136">
        <f t="shared" si="181"/>
        <v>4</v>
      </c>
      <c r="AD101" s="136">
        <f t="shared" si="181"/>
        <v>1.5</v>
      </c>
      <c r="AE101" s="136">
        <f t="shared" si="181"/>
        <v>3.5</v>
      </c>
      <c r="AF101" s="136">
        <f t="shared" si="181"/>
        <v>1</v>
      </c>
      <c r="AG101" s="136">
        <f t="shared" si="181"/>
        <v>4</v>
      </c>
      <c r="AH101" s="136">
        <f t="shared" si="181"/>
        <v>2</v>
      </c>
      <c r="AI101" s="135">
        <f t="shared" si="181"/>
        <v>0</v>
      </c>
      <c r="AJ101" s="135">
        <f t="shared" si="181"/>
        <v>0</v>
      </c>
      <c r="AK101" s="135">
        <f t="shared" si="181"/>
        <v>0</v>
      </c>
      <c r="AL101" s="135">
        <f t="shared" si="181"/>
        <v>0</v>
      </c>
      <c r="AM101" s="135">
        <f t="shared" si="181"/>
        <v>0</v>
      </c>
      <c r="AN101" s="135">
        <f t="shared" si="181"/>
        <v>0</v>
      </c>
      <c r="AO101" s="135">
        <f t="shared" si="181"/>
        <v>0</v>
      </c>
      <c r="AP101" s="135">
        <f t="shared" si="181"/>
        <v>0</v>
      </c>
      <c r="AQ101" s="135">
        <f t="shared" si="181"/>
        <v>0</v>
      </c>
      <c r="AR101" s="135">
        <f t="shared" si="181"/>
        <v>0</v>
      </c>
      <c r="AS101" s="135">
        <f t="shared" si="181"/>
        <v>0</v>
      </c>
      <c r="AT101" s="135">
        <f t="shared" si="181"/>
        <v>0</v>
      </c>
      <c r="AU101" s="135">
        <f t="shared" si="181"/>
        <v>0</v>
      </c>
      <c r="AV101" s="135">
        <f t="shared" si="181"/>
        <v>0</v>
      </c>
      <c r="AW101" s="135">
        <f t="shared" si="181"/>
        <v>0</v>
      </c>
      <c r="AX101" s="136">
        <f t="shared" si="181"/>
        <v>1</v>
      </c>
      <c r="AY101" s="136">
        <f t="shared" si="181"/>
        <v>1.5</v>
      </c>
      <c r="AZ101" s="136">
        <f t="shared" si="181"/>
        <v>4</v>
      </c>
      <c r="BA101" s="136">
        <f t="shared" si="181"/>
        <v>4</v>
      </c>
      <c r="BB101" s="136">
        <f t="shared" si="181"/>
        <v>3</v>
      </c>
      <c r="BC101" s="136">
        <f t="shared" si="181"/>
        <v>1.5</v>
      </c>
      <c r="BD101" s="136">
        <f t="shared" si="181"/>
        <v>1</v>
      </c>
      <c r="BE101" s="136">
        <f t="shared" si="181"/>
        <v>3</v>
      </c>
      <c r="BF101" s="136">
        <f t="shared" si="181"/>
        <v>1.5</v>
      </c>
      <c r="BG101" s="136">
        <f t="shared" si="181"/>
        <v>4</v>
      </c>
      <c r="BH101" s="136">
        <f t="shared" si="181"/>
        <v>1.5</v>
      </c>
      <c r="BI101" s="136">
        <f t="shared" si="181"/>
        <v>4</v>
      </c>
      <c r="BJ101" s="136">
        <f t="shared" si="181"/>
        <v>2.5</v>
      </c>
      <c r="BK101" s="136">
        <f t="shared" si="181"/>
        <v>1</v>
      </c>
      <c r="BL101" s="136">
        <f t="shared" si="181"/>
        <v>1.5</v>
      </c>
      <c r="BM101" s="139">
        <f t="shared" si="178"/>
        <v>70.5</v>
      </c>
      <c r="BN101" s="139">
        <f t="shared" si="182"/>
        <v>74</v>
      </c>
      <c r="BO101" s="140"/>
      <c r="BP101" s="140"/>
      <c r="BQ101" s="140"/>
      <c r="BR101" s="140"/>
      <c r="BS101" s="140"/>
      <c r="BT101" s="140"/>
      <c r="BU101" s="140"/>
      <c r="BV101" s="140"/>
      <c r="BW101" s="69"/>
      <c r="BX101" s="37"/>
      <c r="BY101" s="139"/>
      <c r="BZ101" s="139"/>
      <c r="CA101" s="139"/>
      <c r="CB101" s="139"/>
      <c r="CC101" s="133"/>
      <c r="CD101" s="133"/>
      <c r="CE101" s="133"/>
    </row>
    <row r="102">
      <c r="A102" s="135" t="s">
        <v>80</v>
      </c>
      <c r="B102" s="141">
        <v>5.0</v>
      </c>
      <c r="C102" s="141" t="s">
        <v>96</v>
      </c>
      <c r="D102" s="135" t="s">
        <v>76</v>
      </c>
      <c r="E102" s="135" t="s">
        <v>75</v>
      </c>
      <c r="F102" s="135" t="s">
        <v>79</v>
      </c>
      <c r="G102" s="135" t="s">
        <v>78</v>
      </c>
      <c r="H102" s="135" t="s">
        <v>77</v>
      </c>
      <c r="I102" s="135" t="s">
        <v>76</v>
      </c>
      <c r="J102" s="135" t="s">
        <v>77</v>
      </c>
      <c r="K102" s="135" t="s">
        <v>78</v>
      </c>
      <c r="L102" s="135" t="s">
        <v>78</v>
      </c>
      <c r="M102" s="135" t="s">
        <v>77</v>
      </c>
      <c r="N102" s="135" t="s">
        <v>76</v>
      </c>
      <c r="O102" s="135" t="s">
        <v>79</v>
      </c>
      <c r="P102" s="135" t="s">
        <v>76</v>
      </c>
      <c r="Q102" s="135" t="s">
        <v>78</v>
      </c>
      <c r="R102" s="135" t="s">
        <v>75</v>
      </c>
      <c r="S102" s="136">
        <f t="shared" ref="S102:AG102" si="183">COLUMN(INDIRECT(D102&amp;4))</f>
        <v>5</v>
      </c>
      <c r="T102" s="136">
        <f t="shared" si="183"/>
        <v>4</v>
      </c>
      <c r="U102" s="136">
        <f t="shared" si="183"/>
        <v>2</v>
      </c>
      <c r="V102" s="136">
        <f t="shared" si="183"/>
        <v>3</v>
      </c>
      <c r="W102" s="136">
        <f t="shared" si="183"/>
        <v>1</v>
      </c>
      <c r="X102" s="136">
        <f t="shared" si="183"/>
        <v>5</v>
      </c>
      <c r="Y102" s="136">
        <f t="shared" si="183"/>
        <v>1</v>
      </c>
      <c r="Z102" s="136">
        <f t="shared" si="183"/>
        <v>3</v>
      </c>
      <c r="AA102" s="136">
        <f t="shared" si="183"/>
        <v>3</v>
      </c>
      <c r="AB102" s="136">
        <f t="shared" si="183"/>
        <v>1</v>
      </c>
      <c r="AC102" s="136">
        <f t="shared" si="183"/>
        <v>5</v>
      </c>
      <c r="AD102" s="136">
        <f t="shared" si="183"/>
        <v>2</v>
      </c>
      <c r="AE102" s="136">
        <f t="shared" si="183"/>
        <v>5</v>
      </c>
      <c r="AF102" s="136">
        <f t="shared" si="183"/>
        <v>3</v>
      </c>
      <c r="AG102" s="136">
        <f t="shared" si="183"/>
        <v>4</v>
      </c>
      <c r="AH102" s="141" t="s">
        <v>96</v>
      </c>
      <c r="AI102" s="135" t="s">
        <v>79</v>
      </c>
      <c r="AJ102" s="135" t="s">
        <v>75</v>
      </c>
      <c r="AK102" s="135" t="s">
        <v>76</v>
      </c>
      <c r="AL102" s="135" t="s">
        <v>75</v>
      </c>
      <c r="AM102" s="135" t="s">
        <v>75</v>
      </c>
      <c r="AN102" s="135" t="s">
        <v>79</v>
      </c>
      <c r="AO102" s="135" t="s">
        <v>77</v>
      </c>
      <c r="AP102" s="135" t="s">
        <v>76</v>
      </c>
      <c r="AQ102" s="135" t="s">
        <v>77</v>
      </c>
      <c r="AR102" s="135" t="s">
        <v>78</v>
      </c>
      <c r="AS102" s="135" t="s">
        <v>79</v>
      </c>
      <c r="AT102" s="135" t="s">
        <v>75</v>
      </c>
      <c r="AU102" s="135" t="s">
        <v>78</v>
      </c>
      <c r="AV102" s="135" t="s">
        <v>79</v>
      </c>
      <c r="AW102" s="135" t="s">
        <v>77</v>
      </c>
      <c r="AX102" s="142">
        <f t="shared" ref="AX102:BL102" si="184">COLUMN(INDIRECT(AI102&amp;1))</f>
        <v>2</v>
      </c>
      <c r="AY102" s="142">
        <f t="shared" si="184"/>
        <v>4</v>
      </c>
      <c r="AZ102" s="142">
        <f t="shared" si="184"/>
        <v>5</v>
      </c>
      <c r="BA102" s="142">
        <f t="shared" si="184"/>
        <v>4</v>
      </c>
      <c r="BB102" s="142">
        <f t="shared" si="184"/>
        <v>4</v>
      </c>
      <c r="BC102" s="142">
        <f t="shared" si="184"/>
        <v>2</v>
      </c>
      <c r="BD102" s="142">
        <f t="shared" si="184"/>
        <v>1</v>
      </c>
      <c r="BE102" s="142">
        <f t="shared" si="184"/>
        <v>5</v>
      </c>
      <c r="BF102" s="142">
        <f t="shared" si="184"/>
        <v>1</v>
      </c>
      <c r="BG102" s="142">
        <f t="shared" si="184"/>
        <v>3</v>
      </c>
      <c r="BH102" s="142">
        <f t="shared" si="184"/>
        <v>2</v>
      </c>
      <c r="BI102" s="142">
        <f t="shared" si="184"/>
        <v>4</v>
      </c>
      <c r="BJ102" s="142">
        <f t="shared" si="184"/>
        <v>3</v>
      </c>
      <c r="BK102" s="142">
        <f t="shared" si="184"/>
        <v>2</v>
      </c>
      <c r="BL102" s="142">
        <f t="shared" si="184"/>
        <v>1</v>
      </c>
      <c r="BM102" s="79">
        <v>0.813953488372093</v>
      </c>
      <c r="BN102" s="143">
        <v>0.7553191489361702</v>
      </c>
      <c r="BO102" s="140"/>
      <c r="BP102" s="140"/>
      <c r="BQ102" s="140"/>
      <c r="BR102" s="140"/>
      <c r="BS102" s="140"/>
      <c r="BT102" s="140"/>
      <c r="BU102" s="140"/>
      <c r="BV102" s="140"/>
      <c r="BW102" s="69"/>
      <c r="BX102" s="31"/>
      <c r="BY102" s="143"/>
      <c r="BZ102" s="143"/>
      <c r="CA102" s="143"/>
      <c r="CB102" s="143"/>
      <c r="CC102" s="133"/>
      <c r="CD102" s="133"/>
      <c r="CE102" s="133"/>
    </row>
    <row r="103">
      <c r="A103" s="135" t="s">
        <v>97</v>
      </c>
      <c r="B103" s="136">
        <v>5.0</v>
      </c>
      <c r="C103" s="136" t="s">
        <v>96</v>
      </c>
      <c r="D103" s="135">
        <v>10.0</v>
      </c>
      <c r="E103" s="135">
        <v>9.0</v>
      </c>
      <c r="F103" s="135">
        <v>17.0</v>
      </c>
      <c r="G103" s="135">
        <v>8.0</v>
      </c>
      <c r="H103" s="135">
        <v>1.0</v>
      </c>
      <c r="I103" s="135">
        <v>20.0</v>
      </c>
      <c r="J103" s="135">
        <v>6.0</v>
      </c>
      <c r="K103" s="135">
        <v>28.0</v>
      </c>
      <c r="L103" s="135">
        <v>3.0</v>
      </c>
      <c r="M103" s="135">
        <v>16.0</v>
      </c>
      <c r="N103" s="135">
        <v>5.0</v>
      </c>
      <c r="O103" s="135">
        <v>12.0</v>
      </c>
      <c r="P103" s="135">
        <v>30.0</v>
      </c>
      <c r="Q103" s="135">
        <v>18.0</v>
      </c>
      <c r="R103" s="135">
        <v>4.0</v>
      </c>
      <c r="S103" s="136">
        <v>10.0</v>
      </c>
      <c r="T103" s="136">
        <v>9.0</v>
      </c>
      <c r="U103" s="136">
        <v>17.0</v>
      </c>
      <c r="V103" s="136">
        <v>8.0</v>
      </c>
      <c r="W103" s="136">
        <v>1.0</v>
      </c>
      <c r="X103" s="136">
        <v>20.0</v>
      </c>
      <c r="Y103" s="136">
        <v>6.0</v>
      </c>
      <c r="Z103" s="136">
        <v>28.0</v>
      </c>
      <c r="AA103" s="136">
        <v>3.0</v>
      </c>
      <c r="AB103" s="136">
        <v>16.0</v>
      </c>
      <c r="AC103" s="136">
        <v>5.0</v>
      </c>
      <c r="AD103" s="136">
        <v>12.0</v>
      </c>
      <c r="AE103" s="136">
        <v>30.0</v>
      </c>
      <c r="AF103" s="136">
        <v>18.0</v>
      </c>
      <c r="AG103" s="136">
        <v>4.0</v>
      </c>
      <c r="AH103" s="141" t="s">
        <v>96</v>
      </c>
      <c r="AI103" s="135">
        <v>22.0</v>
      </c>
      <c r="AJ103" s="135">
        <v>24.0</v>
      </c>
      <c r="AK103" s="135">
        <v>15.0</v>
      </c>
      <c r="AL103" s="135">
        <v>14.0</v>
      </c>
      <c r="AM103" s="135">
        <v>19.0</v>
      </c>
      <c r="AN103" s="135">
        <v>2.0</v>
      </c>
      <c r="AO103" s="135">
        <v>21.0</v>
      </c>
      <c r="AP103" s="135">
        <v>25.0</v>
      </c>
      <c r="AQ103" s="135">
        <v>11.0</v>
      </c>
      <c r="AR103" s="135">
        <v>13.0</v>
      </c>
      <c r="AS103" s="135">
        <v>27.0</v>
      </c>
      <c r="AT103" s="135">
        <v>29.0</v>
      </c>
      <c r="AU103" s="135">
        <v>23.0</v>
      </c>
      <c r="AV103" s="135">
        <v>7.0</v>
      </c>
      <c r="AW103" s="135">
        <v>26.0</v>
      </c>
      <c r="AX103" s="136">
        <v>22.0</v>
      </c>
      <c r="AY103" s="136">
        <v>24.0</v>
      </c>
      <c r="AZ103" s="136">
        <v>15.0</v>
      </c>
      <c r="BA103" s="136">
        <v>14.0</v>
      </c>
      <c r="BB103" s="136">
        <v>19.0</v>
      </c>
      <c r="BC103" s="136">
        <v>2.0</v>
      </c>
      <c r="BD103" s="136">
        <v>21.0</v>
      </c>
      <c r="BE103" s="136">
        <v>25.0</v>
      </c>
      <c r="BF103" s="136">
        <v>11.0</v>
      </c>
      <c r="BG103" s="136">
        <v>13.0</v>
      </c>
      <c r="BH103" s="136">
        <v>27.0</v>
      </c>
      <c r="BI103" s="136">
        <v>29.0</v>
      </c>
      <c r="BJ103" s="136">
        <v>23.0</v>
      </c>
      <c r="BK103" s="136">
        <v>7.0</v>
      </c>
      <c r="BL103" s="136">
        <v>26.0</v>
      </c>
      <c r="BM103" s="77">
        <v>43.0</v>
      </c>
      <c r="BN103" s="144">
        <v>47.0</v>
      </c>
      <c r="BO103" s="140"/>
      <c r="BP103" s="140"/>
      <c r="BQ103" s="140"/>
      <c r="BR103" s="140"/>
      <c r="BS103" s="140"/>
      <c r="BT103" s="140"/>
      <c r="BU103" s="140"/>
      <c r="BV103" s="140"/>
      <c r="BW103" s="69">
        <v>10.0</v>
      </c>
      <c r="BX103" s="89">
        <f>SUM(S14+BC34+BH56+AB76+S96)/5</f>
        <v>4.5</v>
      </c>
      <c r="BY103" s="144">
        <f>SUM(S15+BC41+BH57+AB77+S97)/5</f>
        <v>4.633333333</v>
      </c>
      <c r="BZ103" s="144">
        <f>SUM(S16+BC35+BH58+AB78+S98)/5</f>
        <v>4.366666667</v>
      </c>
      <c r="CA103" s="144">
        <f>SUM(S17+BC36+BH59+AB79+S99)/5</f>
        <v>4.633333333</v>
      </c>
      <c r="CB103" s="8"/>
      <c r="CC103" s="137"/>
      <c r="CD103" s="137"/>
      <c r="CE103" s="137"/>
    </row>
    <row r="104"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145"/>
      <c r="BN104" s="8"/>
      <c r="BO104" s="76"/>
      <c r="BP104" s="76"/>
      <c r="BQ104" s="76"/>
      <c r="BR104" s="76"/>
      <c r="BS104" s="76"/>
      <c r="BT104" s="76"/>
      <c r="BU104" s="76"/>
      <c r="BV104" s="76"/>
      <c r="BW104" s="31">
        <v>11.0</v>
      </c>
      <c r="BX104" s="89">
        <f>SUM(BF14+AA34+Y76+AB56+BF96)/5</f>
        <v>1.866666667</v>
      </c>
      <c r="BY104" s="8">
        <f>SUM(BF15+AA41+AB57+Y77+BF97)/5</f>
        <v>1.866666667</v>
      </c>
      <c r="BZ104" s="8">
        <f>SUM(BF16+AA35+AB58+Y78+BF98)/5</f>
        <v>1.866666667</v>
      </c>
      <c r="CA104" s="8">
        <f>SUM(BF17+AA36+AB59+Y79+BF99)/5</f>
        <v>1.893333333</v>
      </c>
      <c r="CB104" s="145"/>
      <c r="CC104" s="8"/>
      <c r="CD104" s="8"/>
      <c r="CE104" s="8"/>
    </row>
    <row r="105"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92"/>
      <c r="BN105" s="8"/>
      <c r="BO105" s="76"/>
      <c r="BP105" s="76"/>
      <c r="BQ105" s="76"/>
      <c r="BR105" s="76"/>
      <c r="BS105" s="76"/>
      <c r="BT105" s="76"/>
      <c r="BU105" s="76"/>
      <c r="BV105" s="76"/>
      <c r="BW105" s="31">
        <v>12.0</v>
      </c>
      <c r="BX105" s="89">
        <f>SUM(AD14+AE34+X56+BK76+AD96)/5</f>
        <v>2.333333333</v>
      </c>
      <c r="BY105" s="8">
        <f>SUM(AD15+AE41+X57+BK77+AD97)/5</f>
        <v>2.666666667</v>
      </c>
      <c r="BZ105" s="8">
        <f>SUM(AD16+AE35+X58+BK78+AD98)/5</f>
        <v>2</v>
      </c>
      <c r="CA105" s="8">
        <f>SUM(AD17+AE36+X59+BK79+AD99)/5</f>
        <v>2.646666667</v>
      </c>
      <c r="CB105" s="144"/>
      <c r="CC105" s="8"/>
      <c r="CD105" s="8"/>
      <c r="CE105" s="8"/>
    </row>
    <row r="106"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76"/>
      <c r="BP106" s="76"/>
      <c r="BQ106" s="76"/>
      <c r="BR106" s="76"/>
      <c r="BS106" s="76"/>
      <c r="BT106" s="76"/>
      <c r="BU106" s="76"/>
      <c r="BV106" s="76"/>
      <c r="BW106" s="31">
        <v>13.0</v>
      </c>
      <c r="BX106" s="89">
        <f>SUM(BG14+T34+U56+AA76+BG96)/5</f>
        <v>3.5</v>
      </c>
      <c r="BY106" s="8">
        <f>SUM(BG15+T41+U57+AA77+BG97)/5</f>
        <v>3.766666667</v>
      </c>
      <c r="BZ106" s="8">
        <f>SUM(BG16+T35+U58+AA78+BG98)/5</f>
        <v>3.233333333</v>
      </c>
      <c r="CA106" s="8">
        <f>SUM(BG17+T36+U59+AA79+BG99)/5</f>
        <v>3.733333333</v>
      </c>
      <c r="CB106" s="8"/>
      <c r="CC106" s="8"/>
      <c r="CD106" s="8"/>
      <c r="CE106" s="8"/>
    </row>
    <row r="107"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76"/>
      <c r="BP107" s="76"/>
      <c r="BQ107" s="76"/>
      <c r="BR107" s="76"/>
      <c r="BS107" s="76"/>
      <c r="BT107" s="76"/>
      <c r="BU107" s="76"/>
      <c r="BV107" s="76"/>
      <c r="BW107" s="31">
        <v>14.0</v>
      </c>
      <c r="BX107" s="89">
        <f>SUM(BA14+AD34+AA56+AZ76+BA96)/5</f>
        <v>3.883333333</v>
      </c>
      <c r="BY107" s="8">
        <f>SUM(BA15+AD41+AA57+AZ77+BA97)/5</f>
        <v>3.866666667</v>
      </c>
      <c r="BZ107" s="8">
        <f>SUM(BA16+AD35+AA58+AZ77+BA98)/5</f>
        <v>3.9</v>
      </c>
      <c r="CA107" s="8">
        <f>SUM(BA17+AD36+AA59+AZ79+BA99)/5</f>
        <v>3.86</v>
      </c>
      <c r="CB107" s="8"/>
      <c r="CC107" s="8"/>
      <c r="CD107" s="8"/>
      <c r="CE107" s="8"/>
    </row>
    <row r="108"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76"/>
      <c r="BP108" s="76"/>
      <c r="BQ108" s="76"/>
      <c r="BR108" s="76"/>
      <c r="BS108" s="76"/>
      <c r="BT108" s="76"/>
      <c r="BU108" s="76"/>
      <c r="BV108" s="76"/>
      <c r="BW108" s="31">
        <v>15.0</v>
      </c>
      <c r="BX108" s="89">
        <f>SUM(AZ14+S34+AX56+AX76+AZ96)/5</f>
        <v>4.316666667</v>
      </c>
      <c r="BY108" s="8">
        <f>SUM(AZ15+S41+AX57+AX77+AZ97)/5</f>
        <v>4.3</v>
      </c>
      <c r="BZ108" s="8">
        <f>SUM(AZ16+S35+AX58+AX78+AY98)/5</f>
        <v>3.833333333</v>
      </c>
      <c r="CA108" s="8">
        <f>SUM(AZ17+S36+AX59+AX79+AY99)/5</f>
        <v>3.84</v>
      </c>
      <c r="CB108" s="8"/>
      <c r="CC108" s="8"/>
      <c r="CD108" s="8"/>
      <c r="CE108" s="8"/>
    </row>
    <row r="109"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76"/>
      <c r="BP109" s="76"/>
      <c r="BQ109" s="76"/>
      <c r="BR109" s="76"/>
      <c r="BS109" s="76"/>
      <c r="BT109" s="76"/>
      <c r="BU109" s="76"/>
      <c r="BV109" s="76"/>
      <c r="BW109" s="31">
        <v>16.0</v>
      </c>
      <c r="BX109" s="89">
        <f>SUM(AB14+AX34+T56+W76+AB96)/5</f>
        <v>1.716666667</v>
      </c>
      <c r="BY109" s="8">
        <f>SUM(AB15+AX41+T57+W77+AB97)/5</f>
        <v>1.7</v>
      </c>
      <c r="BZ109" s="8">
        <f>SUM(AB16+AX35+T58+W78+AB98)/5</f>
        <v>1.733333333</v>
      </c>
      <c r="CA109" s="8">
        <f>SUM(AB17+AX36+T59+W79+AB99)/5</f>
        <v>1.62</v>
      </c>
      <c r="CB109" s="8"/>
      <c r="CC109" s="8"/>
      <c r="CD109" s="8"/>
      <c r="CE109" s="8"/>
    </row>
    <row r="110"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76"/>
      <c r="BP110" s="76"/>
      <c r="BQ110" s="76"/>
      <c r="BR110" s="76"/>
      <c r="BS110" s="76"/>
      <c r="BT110" s="76"/>
      <c r="BU110" s="76"/>
      <c r="BV110" s="76"/>
      <c r="BW110" s="31">
        <v>17.0</v>
      </c>
      <c r="BX110" s="89">
        <f>SUM(U14+BK34+BJ56+BE76+U96)/5</f>
        <v>1.633333333</v>
      </c>
      <c r="BY110" s="8">
        <f>SUM(U15+BK41+BJ57+BE77+U97)/5</f>
        <v>1.566666667</v>
      </c>
      <c r="BZ110" s="8">
        <f>SUM(U16+BK34+BJ58+BE78+U98)/5</f>
        <v>1.766666667</v>
      </c>
      <c r="CA110" s="8">
        <f>SUM(U17+BK41+BJ59+BE79+U99)/5</f>
        <v>1.546666667</v>
      </c>
      <c r="CB110" s="8"/>
      <c r="CC110" s="8"/>
      <c r="CD110" s="8"/>
      <c r="CE110" s="8"/>
    </row>
    <row r="111"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76"/>
      <c r="BP111" s="76"/>
      <c r="BQ111" s="76"/>
      <c r="BR111" s="76"/>
      <c r="BS111" s="76"/>
      <c r="BT111" s="76"/>
      <c r="BU111" s="76"/>
      <c r="BV111" s="76"/>
      <c r="BW111" s="31">
        <v>18.0</v>
      </c>
      <c r="BX111" s="89">
        <f>SUM(AF14+V34+AZ56+Z76+AF96)/5</f>
        <v>1.933333333</v>
      </c>
      <c r="BY111" s="8">
        <f>SUM(AF15+V41+AZ57+Z77+AF97)/5</f>
        <v>2.066666667</v>
      </c>
      <c r="BZ111" s="8">
        <f>SUM(AF16+V35+AY58+Z78+AF98)/5</f>
        <v>1.8</v>
      </c>
      <c r="CA111" s="8">
        <f>SUM(AF17+V36+AY59+Z79+AF99)/5</f>
        <v>2.146666667</v>
      </c>
      <c r="CB111" s="8"/>
      <c r="CC111" s="8"/>
      <c r="CD111" s="8"/>
      <c r="CE111" s="8"/>
    </row>
    <row r="112"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76"/>
      <c r="BP112" s="76"/>
      <c r="BQ112" s="76"/>
      <c r="BR112" s="76"/>
      <c r="BS112" s="76"/>
      <c r="BT112" s="76"/>
      <c r="BU112" s="76"/>
      <c r="BV112" s="76"/>
      <c r="BW112" s="31">
        <v>19.0</v>
      </c>
      <c r="BX112" s="89">
        <v>2.1333333333333333</v>
      </c>
      <c r="BY112" s="8">
        <f>SUM(BB15+W41+BG57+BI77+BB97)/5</f>
        <v>1.8</v>
      </c>
      <c r="BZ112" s="8">
        <f>SUM(BB16+W35+BG58+BI78+BB98)/5</f>
        <v>2.066666667</v>
      </c>
      <c r="CA112" s="8">
        <f>SUM(BB17+W36+BG59+BI79+BB99)/5</f>
        <v>1.826666667</v>
      </c>
      <c r="CB112" s="8"/>
      <c r="CC112" s="8"/>
      <c r="CD112" s="8"/>
      <c r="CE112" s="8"/>
    </row>
    <row r="113"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76"/>
      <c r="BP113" s="76"/>
      <c r="BQ113" s="76"/>
      <c r="BR113" s="76"/>
      <c r="BS113" s="76"/>
      <c r="BT113" s="76"/>
      <c r="BU113" s="76"/>
      <c r="BV113" s="76"/>
      <c r="BW113" s="31">
        <v>20.0</v>
      </c>
      <c r="BX113" s="89">
        <f>SUM(X14+Z34+BD56+BG76+X96)/5</f>
        <v>2.2</v>
      </c>
      <c r="BY113" s="8">
        <f>SUM(X15+Z41+BD57+BG77+X97)/5</f>
        <v>2.466666667</v>
      </c>
      <c r="BZ113" s="8">
        <f>SUM(X16+Z35+BD58+BG78+X98)/5</f>
        <v>1.933333333</v>
      </c>
      <c r="CA113" s="8">
        <f>SUM(X15+Z36+BD59+BG79+X99)/5</f>
        <v>2.46</v>
      </c>
      <c r="CB113" s="8"/>
      <c r="CC113" s="8"/>
      <c r="CD113" s="8"/>
      <c r="CE113" s="8"/>
    </row>
    <row r="114"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76"/>
      <c r="BP114" s="76"/>
      <c r="BQ114" s="76"/>
      <c r="BR114" s="76"/>
      <c r="BS114" s="76"/>
      <c r="BT114" s="76"/>
      <c r="BU114" s="76"/>
      <c r="BV114" s="76"/>
      <c r="BW114" s="31">
        <v>21.0</v>
      </c>
      <c r="BX114" s="89">
        <f>SUM(BD14+BB34+BI56+AE76+BD96)/5</f>
        <v>1.6</v>
      </c>
      <c r="BY114" s="8">
        <f>SUM(BD15+BB41+BI57+AE77+BD97)/5</f>
        <v>1.633333333</v>
      </c>
      <c r="BZ114" s="8">
        <f>SUM(BD16+BB35+BI58+AE78+BD98)/5</f>
        <v>1.566666667</v>
      </c>
      <c r="CA114" s="8">
        <f>SUM(BD17+BB36+BI59+AG79+BD99)/5</f>
        <v>2.146666667</v>
      </c>
      <c r="CB114" s="8"/>
      <c r="CC114" s="8"/>
      <c r="CD114" s="8"/>
      <c r="CE114" s="8"/>
    </row>
    <row r="115"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76"/>
      <c r="BP115" s="76"/>
      <c r="BQ115" s="76"/>
      <c r="BR115" s="76"/>
      <c r="BS115" s="76"/>
      <c r="BT115" s="76"/>
      <c r="BU115" s="76"/>
      <c r="BV115" s="76"/>
      <c r="BW115" s="31">
        <v>22.0</v>
      </c>
      <c r="BX115" s="89">
        <f>SUM(AX14+U34+BK56+S76+AX96)/5</f>
        <v>1.616666667</v>
      </c>
      <c r="BY115" s="8">
        <f>SUM(AX15+U41+BK57+S77+AX97)/5</f>
        <v>1.566666667</v>
      </c>
      <c r="BZ115" s="8">
        <f>SUM(AX16+U35+BK58+S78+AX98)/5</f>
        <v>1.666666667</v>
      </c>
      <c r="CA115" s="8">
        <f>SUM(AX17+U36+BK59+S79+AX99)/5</f>
        <v>1.566666667</v>
      </c>
      <c r="CB115" s="8"/>
      <c r="CC115" s="8"/>
      <c r="CD115" s="8"/>
      <c r="CE115" s="8"/>
    </row>
    <row r="116"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76"/>
      <c r="BP116" s="76"/>
      <c r="BQ116" s="76"/>
      <c r="BR116" s="76"/>
      <c r="BS116" s="76"/>
      <c r="BT116" s="76"/>
      <c r="BU116" s="76"/>
      <c r="BV116" s="76"/>
      <c r="BW116" s="31">
        <v>23.0</v>
      </c>
      <c r="BX116" s="89">
        <f>SUM(BJ14+BJ34+W56+U76+BJ96)/5</f>
        <v>2.366666667</v>
      </c>
      <c r="BY116" s="8">
        <f>SUM(BJ15+BJ41+W57+U77+BJ97)/5</f>
        <v>2.566666667</v>
      </c>
      <c r="BZ116" s="8">
        <f>SUM(BJ16+BJ34+W58+U78+BJ98)/5</f>
        <v>2.2</v>
      </c>
      <c r="CA116" s="8">
        <f>SUM(BJ17+BJ41+W59+U79+BJ99)/5</f>
        <v>2.493333333</v>
      </c>
      <c r="CB116" s="8"/>
      <c r="CC116" s="8"/>
      <c r="CD116" s="8"/>
      <c r="CE116" s="8"/>
    </row>
    <row r="117"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76"/>
      <c r="BP117" s="76"/>
      <c r="BQ117" s="76"/>
      <c r="BR117" s="76"/>
      <c r="BS117" s="76"/>
      <c r="BT117" s="76"/>
      <c r="BU117" s="76"/>
      <c r="BV117" s="76"/>
      <c r="BW117" s="31">
        <v>24.0</v>
      </c>
      <c r="BX117" s="89">
        <f>SUM(AY14+AZ34+AD56+T76+AY96)/5</f>
        <v>2.583333333</v>
      </c>
      <c r="BY117" s="8">
        <f>SUM(BE15+BG41+BA57+BL77+BE97)/5</f>
        <v>3.633333333</v>
      </c>
      <c r="BZ117" s="8">
        <f>SUM(BE16+BI35+BA58+BL78+BE98)/5</f>
        <v>2.733333333</v>
      </c>
      <c r="CA117" s="8">
        <f>SUM(BE17+BI36+BA59+BL79+BE99)/5</f>
        <v>3.566666667</v>
      </c>
      <c r="CB117" s="8"/>
      <c r="CC117" s="8"/>
      <c r="CD117" s="8"/>
      <c r="CE117" s="8"/>
    </row>
    <row r="118"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76"/>
      <c r="BP118" s="76"/>
      <c r="BQ118" s="76"/>
      <c r="BR118" s="76"/>
      <c r="BS118" s="76"/>
      <c r="BT118" s="76"/>
      <c r="BU118" s="76"/>
      <c r="BV118" s="76"/>
      <c r="BW118" s="31">
        <v>25.0</v>
      </c>
      <c r="BX118" s="89">
        <f>SUM(BE14+BG34+BA56+BL76+BE96)/5</f>
        <v>3.283333333</v>
      </c>
      <c r="BY118" s="8">
        <f>SUM(BE15+BG41+BA57+BL77+BE97)/5</f>
        <v>3.633333333</v>
      </c>
      <c r="BZ118" s="8">
        <f>SUM(BE16+BG35+BA58+BL78+BE98)/5</f>
        <v>2.933333333</v>
      </c>
      <c r="CA118" s="8">
        <f>SUM(BE17+BG36+BA59+BL79+BE99)/5</f>
        <v>3.666666667</v>
      </c>
      <c r="CB118" s="8"/>
      <c r="CC118" s="8"/>
      <c r="CD118" s="8"/>
      <c r="CE118" s="8"/>
    </row>
    <row r="119"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76"/>
      <c r="BP119" s="76"/>
      <c r="BQ119" s="76"/>
      <c r="BR119" s="76"/>
      <c r="BS119" s="76"/>
      <c r="BT119" s="76"/>
      <c r="BU119" s="76"/>
      <c r="BV119" s="76"/>
      <c r="BW119" s="31">
        <v>26.0</v>
      </c>
      <c r="BX119" s="89">
        <f>SUM(BL14+BD34+AF56+BF76+BL96)/5</f>
        <v>1.916666667</v>
      </c>
      <c r="BY119" s="146">
        <f>SUM(BL15+BI41+BL97+BF77+AF57)/5</f>
        <v>2.2</v>
      </c>
      <c r="BZ119" s="146">
        <f>SUM(BL16+BI34+BL98+BF78+AF58)/5</f>
        <v>1.966666667</v>
      </c>
      <c r="CA119" s="8">
        <f>SUM(BL17+BI41+BL99+BF79+AF59)/5</f>
        <v>2.206666667</v>
      </c>
      <c r="CB119" s="8"/>
      <c r="CC119" s="8"/>
      <c r="CD119" s="8"/>
      <c r="CE119" s="8"/>
    </row>
    <row r="120"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76"/>
      <c r="BP120" s="76"/>
      <c r="BQ120" s="76"/>
      <c r="BR120" s="76"/>
      <c r="BS120" s="76"/>
      <c r="BT120" s="76"/>
      <c r="BU120" s="76"/>
      <c r="BV120" s="76"/>
      <c r="BW120" s="31">
        <v>27.0</v>
      </c>
      <c r="BX120" s="89">
        <f>SUM(BH14+AC34+Z56+BA76+BH96)/5</f>
        <v>2.033333333</v>
      </c>
      <c r="BY120" s="8">
        <f>SUM(BH15+AC41+Z57+BA77+BH97)/5</f>
        <v>1.9</v>
      </c>
      <c r="BZ120" s="8">
        <f>SUM(BH16+AC35+Z58+BA78+BH98)/5</f>
        <v>2.166666667</v>
      </c>
      <c r="CA120" s="8">
        <f>SUM(BH17+AC36+Z59+BA79+BH99)/5</f>
        <v>1.86</v>
      </c>
      <c r="CB120" s="8"/>
      <c r="CC120" s="8"/>
      <c r="CD120" s="8"/>
      <c r="CE120" s="8"/>
    </row>
    <row r="121"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76"/>
      <c r="BP121" s="76"/>
      <c r="BQ121" s="76"/>
      <c r="BR121" s="76"/>
      <c r="BS121" s="76"/>
      <c r="BT121" s="76"/>
      <c r="BU121" s="76"/>
      <c r="BV121" s="76"/>
      <c r="BW121" s="31">
        <v>28.0</v>
      </c>
      <c r="BX121" s="89">
        <f>SUM(Z14+AB34+BB56+AD76+Z96)/5</f>
        <v>2.766666667</v>
      </c>
      <c r="BY121" s="8">
        <f>SUM(Z15+AB41+BB57+AD77+Z97)/5</f>
        <v>2.833333333</v>
      </c>
      <c r="BZ121" s="8">
        <f>SUM(Z16+AB35+BB58+AD78+Z98)/5</f>
        <v>2.7</v>
      </c>
      <c r="CA121" s="8">
        <f>SUM(Z17+AB36+BB59+AD79+Z99)/5</f>
        <v>2.786666667</v>
      </c>
      <c r="CB121" s="8"/>
      <c r="CC121" s="8"/>
      <c r="CD121" s="8"/>
      <c r="CE121" s="8"/>
    </row>
    <row r="122"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76"/>
      <c r="BP122" s="76"/>
      <c r="BQ122" s="76"/>
      <c r="BR122" s="76"/>
      <c r="BS122" s="76"/>
      <c r="BT122" s="76"/>
      <c r="BU122" s="76"/>
      <c r="BV122" s="76"/>
      <c r="BW122" s="31">
        <v>29.0</v>
      </c>
      <c r="BX122" s="89">
        <f>SUM(BI14+AY34+AG56+X76+BI96)/5</f>
        <v>3.233333333</v>
      </c>
      <c r="BY122" s="8">
        <f>SUM(BI15+AY41+AG57+X77+BI97)/5</f>
        <v>3.233333333</v>
      </c>
      <c r="BZ122" s="8">
        <f>SUM(BI16+AY35+AG58+X78+BI98)/5</f>
        <v>3.233333333</v>
      </c>
      <c r="CA122" s="8">
        <f>SUM(BI17+AY36+AG59+X79+BI99)/5</f>
        <v>3.16</v>
      </c>
      <c r="CB122" s="8"/>
      <c r="CC122" s="8"/>
      <c r="CD122" s="8"/>
      <c r="CE122" s="8"/>
    </row>
    <row r="123"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76"/>
      <c r="BP123" s="76"/>
      <c r="BQ123" s="76"/>
      <c r="BR123" s="76"/>
      <c r="BS123" s="76"/>
      <c r="BT123" s="76"/>
      <c r="BU123" s="76"/>
      <c r="BV123" s="76"/>
      <c r="BW123" s="31">
        <v>30.0</v>
      </c>
      <c r="BX123" s="89">
        <f>SUM(AE14+BE34+AE56+V76+AE96)/5</f>
        <v>3.766666667</v>
      </c>
      <c r="BY123" s="8">
        <f>SUM(AE15+BE41+AE57+V77+AE97)/5</f>
        <v>3.8</v>
      </c>
      <c r="BZ123" s="8">
        <f>SUM(AE16+BE35+AE58+V78+AE98)/5</f>
        <v>3.733333333</v>
      </c>
      <c r="CA123" s="8">
        <f>SUM(AE17+BE36+AE59+V79+AE99)/5</f>
        <v>3.76</v>
      </c>
      <c r="CB123" s="8"/>
      <c r="CC123" s="8"/>
      <c r="CD123" s="8"/>
      <c r="CE123" s="8"/>
    </row>
    <row r="124"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</row>
    <row r="125"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</row>
    <row r="126"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</row>
    <row r="127"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</row>
    <row r="128"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</row>
    <row r="129"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</row>
    <row r="130"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</row>
    <row r="131"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</row>
    <row r="132"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</row>
    <row r="133"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</row>
    <row r="134"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</row>
    <row r="135"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</row>
    <row r="136"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</row>
    <row r="137"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</row>
    <row r="138"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</row>
    <row r="139"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</row>
    <row r="140"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</row>
    <row r="141"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</row>
    <row r="142"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</row>
    <row r="143"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</row>
    <row r="144"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144">
        <f>SUM(S59+BC79+BH101+AB121+S141)/5</f>
        <v>2.153333333</v>
      </c>
      <c r="CC144" s="8"/>
      <c r="CD144" s="8"/>
      <c r="CE144" s="8"/>
    </row>
    <row r="145"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>
        <f>SUM(BF59+AA79+AB101+Y121+BF141)/5</f>
        <v>1.833333333</v>
      </c>
      <c r="CC145" s="8"/>
      <c r="CD145" s="8"/>
      <c r="CE145" s="8"/>
    </row>
    <row r="146"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>
        <f>SUM(AD59+AE79+X101+BK121+AD141)/5</f>
        <v>1.273333333</v>
      </c>
      <c r="CC146" s="8"/>
      <c r="CD146" s="8"/>
      <c r="CE146" s="8"/>
    </row>
    <row r="147"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>
        <f>SUM(BG59+T79+U101+AA121+BG141)/5</f>
        <v>1.193333333</v>
      </c>
      <c r="CC147" s="8"/>
      <c r="CD147" s="8"/>
      <c r="CE147" s="8"/>
    </row>
    <row r="148"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>
        <f>SUM(BA59+AD79+AA101+AZ121+BA141)/5</f>
        <v>1.786666667</v>
      </c>
      <c r="CC148" s="8"/>
      <c r="CD148" s="8"/>
      <c r="CE148" s="8"/>
    </row>
    <row r="149"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>
        <f>SUM(AZ59+S79+AX101+AX121+AY141)/5</f>
        <v>0.7333333333</v>
      </c>
      <c r="CC149" s="8"/>
      <c r="CD149" s="8"/>
      <c r="CE149" s="8"/>
    </row>
    <row r="150"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>
        <f>SUM(AB59+AX79+T101+W121+AB141)/5</f>
        <v>1.606666667</v>
      </c>
      <c r="CC150" s="8"/>
      <c r="CD150" s="8"/>
      <c r="CE150" s="8"/>
    </row>
    <row r="151"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>
        <f>SUM(U59+BK77+BL101+BE121+U141)/5</f>
        <v>1.6</v>
      </c>
      <c r="CC151" s="8"/>
      <c r="CD151" s="8"/>
      <c r="CE151" s="8"/>
    </row>
    <row r="152"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>
        <f>SUM(AF59+V79+AY101+Z121+AF141)/5</f>
        <v>1.46</v>
      </c>
      <c r="CC152" s="8"/>
      <c r="CD152" s="8"/>
      <c r="CE152" s="8"/>
    </row>
    <row r="153"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>
        <f>SUM(BB59+W79+BG101+BI121+BB141)/5</f>
        <v>1.52</v>
      </c>
      <c r="CC153" s="8"/>
      <c r="CD153" s="8"/>
      <c r="CE153" s="8"/>
    </row>
    <row r="154"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>
        <f>SUM(X57+Z79+BD101+BG121+X141)/5</f>
        <v>1.313333333</v>
      </c>
      <c r="CC154" s="8"/>
      <c r="CD154" s="8"/>
      <c r="CE154" s="8"/>
    </row>
    <row r="155"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>
        <f>SUM(BD59+BB79+BI101+A721+BD141)/5</f>
        <v>1.76</v>
      </c>
      <c r="CC155" s="8"/>
      <c r="CD155" s="8"/>
      <c r="CE155" s="8"/>
    </row>
    <row r="156"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>
        <f>SUM(AX59+U79+BK101+S121+AX141)/5</f>
        <v>1.426666667</v>
      </c>
      <c r="CC156" s="8"/>
      <c r="CD156" s="8"/>
      <c r="CE156" s="8"/>
    </row>
    <row r="157"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>
        <f>SUM(BK59+BJ77+W101+U121+BJ141)/5</f>
        <v>1.033333333</v>
      </c>
      <c r="CC157" s="8"/>
      <c r="CD157" s="8"/>
      <c r="CE157" s="8"/>
    </row>
    <row r="158"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>
        <f>SUM(BE59+BI79+BA101+BL121+BE141)/5</f>
        <v>2.126666667</v>
      </c>
      <c r="CC158" s="8"/>
      <c r="CD158" s="8"/>
      <c r="CE158" s="8"/>
    </row>
    <row r="159"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>
        <f>SUM(BE59+BG79+BA101+BL121+BE141)/5</f>
        <v>2.326666667</v>
      </c>
      <c r="CC159" s="8"/>
      <c r="CD159" s="8"/>
      <c r="CE159" s="8"/>
    </row>
    <row r="160"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>
        <f>SUM(BL59+BI77+BL141+BF121+AF101)/5</f>
        <v>1.033333333</v>
      </c>
      <c r="CC160" s="8"/>
      <c r="CD160" s="8"/>
      <c r="CE160" s="8"/>
    </row>
    <row r="161"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>
        <f>SUM(BH59+AC79+Z101+BA121+BH141)/5</f>
        <v>2.373333333</v>
      </c>
      <c r="CC161" s="8"/>
      <c r="CD161" s="8"/>
      <c r="CE161" s="8"/>
    </row>
    <row r="162"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>
        <f>SUM(Z59+AB79+BB101+AD121+Z141)/5</f>
        <v>1.966666667</v>
      </c>
      <c r="CC162" s="8"/>
      <c r="CD162" s="8"/>
      <c r="CE162" s="8"/>
    </row>
    <row r="163"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>
        <f>SUM(BI59+AY79+AH101+X121+BI141)/5</f>
        <v>1.326666667</v>
      </c>
      <c r="CC163" s="8"/>
      <c r="CD163" s="8"/>
      <c r="CE163" s="8"/>
    </row>
    <row r="164"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>
        <f>SUM(AE59+BE79+AE101+V121+AE141)/5</f>
        <v>1.68</v>
      </c>
      <c r="CC164" s="8"/>
      <c r="CD164" s="8"/>
      <c r="CE164" s="8"/>
    </row>
    <row r="165"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</row>
    <row r="166"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</row>
    <row r="167"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</row>
    <row r="168"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</row>
    <row r="169"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</row>
    <row r="170"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</row>
    <row r="171"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</row>
    <row r="172"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</row>
    <row r="173"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</row>
    <row r="174"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</row>
    <row r="175"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</row>
    <row r="176"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</row>
    <row r="177"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</row>
    <row r="178"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</row>
    <row r="179"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</row>
    <row r="180"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</row>
    <row r="181"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</row>
    <row r="182"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</row>
    <row r="183"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</row>
    <row r="184"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</row>
    <row r="185"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</row>
    <row r="186"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</row>
    <row r="187"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</row>
    <row r="188"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</row>
    <row r="189"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</row>
    <row r="190"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</row>
    <row r="191"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</row>
    <row r="192"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</row>
    <row r="193"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</row>
    <row r="194"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</row>
    <row r="195"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</row>
    <row r="196"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</row>
    <row r="197"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</row>
    <row r="198"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</row>
    <row r="199"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</row>
    <row r="200"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</row>
    <row r="201"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</row>
    <row r="202"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</row>
    <row r="203"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</row>
    <row r="204"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</row>
    <row r="205"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</row>
    <row r="206"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</row>
    <row r="207"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</row>
    <row r="208"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</row>
    <row r="209"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</row>
    <row r="210"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</row>
    <row r="211"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</row>
    <row r="212"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</row>
    <row r="213"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</row>
    <row r="214"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</row>
    <row r="215"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</row>
    <row r="216"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</row>
    <row r="217"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</row>
    <row r="218"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</row>
    <row r="219"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</row>
    <row r="220"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</row>
    <row r="221"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</row>
    <row r="222"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</row>
    <row r="223"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</row>
    <row r="224"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</row>
    <row r="225"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</row>
    <row r="226"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</row>
    <row r="227"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</row>
    <row r="228"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</row>
    <row r="229"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</row>
    <row r="230"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</row>
    <row r="231"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</row>
    <row r="232"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</row>
    <row r="233"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</row>
    <row r="234"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</row>
    <row r="235"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</row>
    <row r="236"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</row>
    <row r="237"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</row>
    <row r="238"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</row>
    <row r="239"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</row>
    <row r="240"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</row>
    <row r="241"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</row>
    <row r="242"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</row>
    <row r="243"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</row>
    <row r="244"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</row>
    <row r="245"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</row>
    <row r="246"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</row>
    <row r="247"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</row>
    <row r="248"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</row>
    <row r="249"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</row>
    <row r="250"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</row>
    <row r="251"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</row>
    <row r="252"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</row>
    <row r="253"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</row>
    <row r="254"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</row>
    <row r="255"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</row>
    <row r="256"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</row>
    <row r="257"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</row>
    <row r="258"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</row>
    <row r="259"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</row>
    <row r="260"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</row>
    <row r="261"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</row>
    <row r="262"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</row>
    <row r="263"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</row>
    <row r="264"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</row>
    <row r="265"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</row>
    <row r="266"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</row>
    <row r="267"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</row>
    <row r="268"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</row>
    <row r="269"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</row>
    <row r="270"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</row>
    <row r="271"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</row>
    <row r="272"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</row>
    <row r="273"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</row>
    <row r="274"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</row>
    <row r="275"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</row>
    <row r="276"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</row>
    <row r="277"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</row>
    <row r="278"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</row>
    <row r="279"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</row>
    <row r="280"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</row>
    <row r="281"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</row>
    <row r="282"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</row>
    <row r="283"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</row>
    <row r="284"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</row>
    <row r="285"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</row>
    <row r="286"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</row>
    <row r="287"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</row>
    <row r="288"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</row>
    <row r="289"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</row>
    <row r="290"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</row>
    <row r="291"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</row>
    <row r="292"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</row>
    <row r="293"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</row>
    <row r="294"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</row>
    <row r="295"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</row>
    <row r="296"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</row>
    <row r="297"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</row>
    <row r="298"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</row>
    <row r="299"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</row>
    <row r="300"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</row>
    <row r="301"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</row>
    <row r="302"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</row>
    <row r="303"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</row>
    <row r="304"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</row>
    <row r="305"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</row>
    <row r="306"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</row>
    <row r="307"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</row>
    <row r="308"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</row>
    <row r="309"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</row>
    <row r="310"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</row>
    <row r="311"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</row>
    <row r="312"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</row>
    <row r="313"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</row>
    <row r="314"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</row>
    <row r="315"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</row>
    <row r="316"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</row>
    <row r="317"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</row>
    <row r="318"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</row>
    <row r="319"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</row>
    <row r="320"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</row>
    <row r="321"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</row>
    <row r="322"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</row>
    <row r="323"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</row>
    <row r="324"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</row>
    <row r="325"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</row>
    <row r="326"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</row>
    <row r="327"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</row>
    <row r="328"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</row>
    <row r="329"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</row>
    <row r="330"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</row>
    <row r="331"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</row>
    <row r="332"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</row>
    <row r="333"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</row>
    <row r="334"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</row>
    <row r="335"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</row>
    <row r="336"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</row>
    <row r="337"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</row>
    <row r="338"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</row>
    <row r="339"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</row>
    <row r="340"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</row>
    <row r="341"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</row>
    <row r="342"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</row>
    <row r="343"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</row>
    <row r="344"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</row>
    <row r="345"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</row>
    <row r="346"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</row>
    <row r="347"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</row>
    <row r="348"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</row>
    <row r="349"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</row>
    <row r="350"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</row>
    <row r="351"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</row>
    <row r="352"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</row>
    <row r="353"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</row>
    <row r="354"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</row>
    <row r="355"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</row>
    <row r="356"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</row>
    <row r="357"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</row>
    <row r="358"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</row>
    <row r="359"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</row>
    <row r="360"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</row>
    <row r="361"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</row>
    <row r="362"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</row>
    <row r="363"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</row>
    <row r="364"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</row>
    <row r="365"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</row>
    <row r="366"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</row>
    <row r="367"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</row>
    <row r="368"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</row>
    <row r="369"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</row>
    <row r="370"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</row>
    <row r="371"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</row>
    <row r="372"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</row>
    <row r="373"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</row>
    <row r="374"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</row>
    <row r="375"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</row>
    <row r="376"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</row>
    <row r="377"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</row>
    <row r="378"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</row>
    <row r="379"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</row>
    <row r="380"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</row>
    <row r="381"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</row>
    <row r="382"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</row>
    <row r="383"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</row>
    <row r="384"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</row>
    <row r="385"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</row>
    <row r="386"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</row>
    <row r="387"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</row>
    <row r="388"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</row>
    <row r="389"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</row>
    <row r="390"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</row>
    <row r="391"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</row>
    <row r="392"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</row>
    <row r="393"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</row>
    <row r="394"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</row>
    <row r="395"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</row>
    <row r="396"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</row>
    <row r="397"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</row>
    <row r="398"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</row>
    <row r="399"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</row>
    <row r="400"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</row>
    <row r="401"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</row>
    <row r="402"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</row>
    <row r="403"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</row>
    <row r="404"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</row>
    <row r="405"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</row>
    <row r="406"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</row>
    <row r="407"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</row>
    <row r="408"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</row>
    <row r="409"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</row>
    <row r="410"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</row>
    <row r="411"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</row>
    <row r="412"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</row>
    <row r="413"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</row>
    <row r="414"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</row>
    <row r="415"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</row>
    <row r="416"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</row>
    <row r="417"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</row>
    <row r="418"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</row>
    <row r="419"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</row>
    <row r="420"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</row>
    <row r="421"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</row>
    <row r="422"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</row>
    <row r="423"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</row>
    <row r="424"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</row>
    <row r="425"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</row>
    <row r="426"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</row>
    <row r="427"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</row>
    <row r="428"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</row>
    <row r="429"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</row>
    <row r="430"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</row>
    <row r="431"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</row>
    <row r="432"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</row>
    <row r="433"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</row>
    <row r="434"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</row>
    <row r="435"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</row>
    <row r="436"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</row>
    <row r="437"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</row>
    <row r="438"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</row>
    <row r="439"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</row>
    <row r="440"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</row>
    <row r="441"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</row>
    <row r="442"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</row>
    <row r="443"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</row>
    <row r="444"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</row>
    <row r="445"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</row>
    <row r="446"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</row>
    <row r="447"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</row>
    <row r="448"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</row>
    <row r="449"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</row>
    <row r="450"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</row>
    <row r="451"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</row>
    <row r="452"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</row>
    <row r="453"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</row>
    <row r="454"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</row>
    <row r="455"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</row>
    <row r="456"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</row>
    <row r="457"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</row>
    <row r="458"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</row>
    <row r="459"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</row>
    <row r="460"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</row>
    <row r="461"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</row>
    <row r="462"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</row>
    <row r="463"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</row>
    <row r="464"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</row>
    <row r="465"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</row>
    <row r="466"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</row>
    <row r="467"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</row>
    <row r="468"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</row>
    <row r="469"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</row>
    <row r="470"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</row>
    <row r="471"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</row>
    <row r="472"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</row>
    <row r="473"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</row>
    <row r="474"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</row>
    <row r="475"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</row>
    <row r="476"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</row>
    <row r="477"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</row>
    <row r="478"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</row>
    <row r="479"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</row>
    <row r="480"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</row>
    <row r="481"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</row>
    <row r="482"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</row>
    <row r="483"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</row>
    <row r="484"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</row>
    <row r="485"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</row>
    <row r="486"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</row>
    <row r="487"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</row>
    <row r="488"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</row>
    <row r="489"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</row>
    <row r="490"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</row>
    <row r="491"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</row>
    <row r="492"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</row>
    <row r="493"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</row>
    <row r="494"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</row>
    <row r="495"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</row>
    <row r="496"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</row>
    <row r="497"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</row>
    <row r="498"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</row>
    <row r="499"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</row>
    <row r="500"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</row>
    <row r="501"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</row>
    <row r="502"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</row>
    <row r="503"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</row>
    <row r="504"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</row>
    <row r="505"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</row>
    <row r="506"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</row>
    <row r="507"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</row>
    <row r="508"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</row>
    <row r="509"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</row>
    <row r="510"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</row>
    <row r="511"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</row>
    <row r="512"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</row>
    <row r="513"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</row>
    <row r="514"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</row>
    <row r="515"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</row>
    <row r="516"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</row>
    <row r="517"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</row>
    <row r="518"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</row>
    <row r="519"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</row>
    <row r="520"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</row>
    <row r="521"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</row>
    <row r="522"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</row>
    <row r="523"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</row>
    <row r="524"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</row>
    <row r="525"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</row>
    <row r="526"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</row>
    <row r="527"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</row>
    <row r="528"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</row>
    <row r="529"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</row>
    <row r="530"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</row>
    <row r="531"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</row>
    <row r="532"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</row>
    <row r="533"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</row>
    <row r="534"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</row>
    <row r="535"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</row>
    <row r="536"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</row>
    <row r="537"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</row>
    <row r="538"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</row>
    <row r="539"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</row>
    <row r="540"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</row>
    <row r="541"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</row>
    <row r="542"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</row>
    <row r="543"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</row>
    <row r="544"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</row>
    <row r="545"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</row>
    <row r="546"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</row>
    <row r="547"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</row>
    <row r="548"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</row>
    <row r="549"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</row>
    <row r="550"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</row>
    <row r="551"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</row>
    <row r="552"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</row>
    <row r="553"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</row>
    <row r="554"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</row>
    <row r="555"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</row>
    <row r="556"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</row>
    <row r="557"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</row>
    <row r="558"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</row>
    <row r="559"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</row>
    <row r="560"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</row>
    <row r="561"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</row>
    <row r="562"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</row>
    <row r="563"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</row>
    <row r="564"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</row>
    <row r="565"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</row>
    <row r="566"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</row>
    <row r="567"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</row>
    <row r="568"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</row>
    <row r="569"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</row>
    <row r="570"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</row>
    <row r="571"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</row>
    <row r="572"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</row>
    <row r="573"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</row>
    <row r="574"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</row>
    <row r="575"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</row>
    <row r="576"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</row>
    <row r="577"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</row>
    <row r="578"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</row>
    <row r="579"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</row>
    <row r="580"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</row>
    <row r="581"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</row>
    <row r="582"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</row>
    <row r="583"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</row>
    <row r="584"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</row>
    <row r="585"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</row>
    <row r="586"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</row>
    <row r="587"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</row>
    <row r="588"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</row>
    <row r="589"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</row>
    <row r="590"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</row>
    <row r="591"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</row>
    <row r="592"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</row>
    <row r="593"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</row>
    <row r="594"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</row>
    <row r="595"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</row>
    <row r="596"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</row>
    <row r="597"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</row>
    <row r="598"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</row>
    <row r="599"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</row>
    <row r="600"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</row>
    <row r="601"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</row>
    <row r="602"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</row>
    <row r="603"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</row>
    <row r="604"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</row>
    <row r="605"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</row>
    <row r="606"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</row>
    <row r="607"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</row>
    <row r="608"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</row>
    <row r="609"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</row>
    <row r="610"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</row>
    <row r="611"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</row>
    <row r="612"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</row>
    <row r="613"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</row>
    <row r="614"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</row>
    <row r="615"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</row>
    <row r="616"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</row>
    <row r="617"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</row>
    <row r="618"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</row>
    <row r="619"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</row>
    <row r="620"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</row>
    <row r="621"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</row>
    <row r="622"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</row>
    <row r="623"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</row>
    <row r="624"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</row>
    <row r="625"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</row>
    <row r="626"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</row>
    <row r="627"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</row>
    <row r="628"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</row>
    <row r="629"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</row>
    <row r="630"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</row>
    <row r="631"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</row>
    <row r="632"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</row>
    <row r="633"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</row>
    <row r="634"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</row>
    <row r="635"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</row>
    <row r="636"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</row>
    <row r="637"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</row>
    <row r="638"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</row>
    <row r="639"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</row>
    <row r="640"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</row>
    <row r="641"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</row>
    <row r="642"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</row>
    <row r="643"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</row>
    <row r="644"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</row>
    <row r="645"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</row>
    <row r="646"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</row>
    <row r="647"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</row>
    <row r="648"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</row>
    <row r="649"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</row>
    <row r="650"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</row>
    <row r="651"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</row>
    <row r="652"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</row>
    <row r="653"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</row>
    <row r="654"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</row>
    <row r="655"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</row>
    <row r="656"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</row>
    <row r="657"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</row>
    <row r="658"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</row>
    <row r="659"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</row>
    <row r="660"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</row>
    <row r="661"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</row>
    <row r="662"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</row>
    <row r="663"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</row>
    <row r="664"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</row>
    <row r="665"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</row>
    <row r="666"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</row>
    <row r="667"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</row>
    <row r="668"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</row>
    <row r="669"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</row>
    <row r="670"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</row>
    <row r="671"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</row>
    <row r="672"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</row>
    <row r="673"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</row>
    <row r="674"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</row>
    <row r="675"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</row>
    <row r="676"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</row>
    <row r="677"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</row>
    <row r="678"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</row>
    <row r="679"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</row>
    <row r="680"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</row>
    <row r="681"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</row>
    <row r="682"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</row>
    <row r="683"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</row>
    <row r="684"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</row>
    <row r="685"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</row>
    <row r="686"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</row>
    <row r="687"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</row>
    <row r="688"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</row>
    <row r="689"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</row>
    <row r="690"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</row>
    <row r="691"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</row>
    <row r="692"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</row>
    <row r="693"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</row>
    <row r="694"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</row>
    <row r="695"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</row>
    <row r="696"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</row>
    <row r="697"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</row>
    <row r="698"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</row>
    <row r="699"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</row>
    <row r="700"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</row>
    <row r="701"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</row>
    <row r="702"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</row>
    <row r="703"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</row>
    <row r="704"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</row>
    <row r="705"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</row>
    <row r="706"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</row>
    <row r="707"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</row>
    <row r="708"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</row>
    <row r="709"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</row>
    <row r="710"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</row>
    <row r="711"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</row>
    <row r="712"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</row>
    <row r="713"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</row>
    <row r="714"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</row>
    <row r="715"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</row>
    <row r="716"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</row>
    <row r="717"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</row>
    <row r="718"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</row>
    <row r="719"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</row>
    <row r="720"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</row>
    <row r="721"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</row>
    <row r="722"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</row>
    <row r="723"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</row>
    <row r="724"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</row>
    <row r="725"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</row>
    <row r="726"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</row>
    <row r="727"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</row>
    <row r="728"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</row>
    <row r="729"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</row>
    <row r="730"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</row>
    <row r="731"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</row>
    <row r="732"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</row>
    <row r="733"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</row>
    <row r="734"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</row>
    <row r="735"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</row>
    <row r="736"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</row>
    <row r="737"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</row>
    <row r="738"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</row>
    <row r="739"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</row>
    <row r="740"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</row>
    <row r="741"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</row>
    <row r="742"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</row>
    <row r="743"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</row>
    <row r="744"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</row>
    <row r="745"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</row>
    <row r="746"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</row>
    <row r="747"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</row>
    <row r="748"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</row>
    <row r="749"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</row>
    <row r="750"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</row>
    <row r="751"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</row>
    <row r="752"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</row>
    <row r="753"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</row>
    <row r="754"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</row>
    <row r="755"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</row>
    <row r="756"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</row>
    <row r="757"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</row>
    <row r="758"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</row>
    <row r="759"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</row>
    <row r="760"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</row>
    <row r="761"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</row>
    <row r="762"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</row>
    <row r="763"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</row>
    <row r="764"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</row>
    <row r="765"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</row>
    <row r="766"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</row>
    <row r="767"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</row>
    <row r="768"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</row>
    <row r="769"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</row>
    <row r="770"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</row>
    <row r="771"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</row>
    <row r="772"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</row>
    <row r="773"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</row>
    <row r="774"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</row>
    <row r="775"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</row>
    <row r="776"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</row>
    <row r="777"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</row>
    <row r="778"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</row>
    <row r="779"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</row>
    <row r="780"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</row>
    <row r="781"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</row>
    <row r="782"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</row>
    <row r="783"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</row>
    <row r="784"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</row>
    <row r="785"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</row>
    <row r="786"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</row>
    <row r="787"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</row>
    <row r="788"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</row>
    <row r="789"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</row>
    <row r="790"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</row>
    <row r="791"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</row>
    <row r="792"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</row>
    <row r="793"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</row>
    <row r="794"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</row>
    <row r="795"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</row>
    <row r="796"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</row>
    <row r="797"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</row>
    <row r="798"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</row>
    <row r="799"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</row>
    <row r="800"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</row>
    <row r="801"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</row>
    <row r="802"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</row>
    <row r="803"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</row>
    <row r="804"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</row>
    <row r="805"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</row>
    <row r="806"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</row>
    <row r="807"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</row>
    <row r="808"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</row>
    <row r="809"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</row>
    <row r="810"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</row>
    <row r="811"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</row>
    <row r="812"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</row>
    <row r="813"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</row>
    <row r="814"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</row>
    <row r="815"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</row>
    <row r="816"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</row>
    <row r="817"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</row>
    <row r="818"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</row>
    <row r="819"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</row>
    <row r="820"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</row>
    <row r="821"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</row>
    <row r="822"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</row>
    <row r="823"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</row>
    <row r="824"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</row>
    <row r="825"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</row>
    <row r="826"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</row>
    <row r="827"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</row>
    <row r="828"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</row>
    <row r="829"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</row>
    <row r="830"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</row>
    <row r="831"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</row>
    <row r="832"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</row>
    <row r="833"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</row>
    <row r="834"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</row>
    <row r="835"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</row>
    <row r="836"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</row>
    <row r="837"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</row>
    <row r="838"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</row>
    <row r="839"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</row>
    <row r="840"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</row>
    <row r="841"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</row>
    <row r="842"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</row>
    <row r="843"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</row>
    <row r="844"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</row>
    <row r="845"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</row>
    <row r="846"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</row>
    <row r="847"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</row>
    <row r="848"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</row>
    <row r="849"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</row>
    <row r="850"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</row>
    <row r="851"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</row>
    <row r="852"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</row>
    <row r="853"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</row>
    <row r="854"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</row>
    <row r="855"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</row>
    <row r="856"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</row>
    <row r="857"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</row>
    <row r="858"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</row>
    <row r="859"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</row>
    <row r="860"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</row>
    <row r="861"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</row>
    <row r="862"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</row>
    <row r="863"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</row>
    <row r="864"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</row>
    <row r="865"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</row>
    <row r="866"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</row>
    <row r="867"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</row>
    <row r="868"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</row>
    <row r="869"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</row>
    <row r="870"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</row>
    <row r="871"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</row>
    <row r="872"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</row>
    <row r="873"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</row>
    <row r="874"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</row>
    <row r="875"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</row>
    <row r="876"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</row>
    <row r="877"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</row>
    <row r="878"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</row>
    <row r="879"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</row>
    <row r="880"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</row>
    <row r="881"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</row>
    <row r="882"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</row>
    <row r="883"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</row>
    <row r="884"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</row>
    <row r="885"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</row>
    <row r="886"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</row>
    <row r="887"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</row>
    <row r="888"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</row>
    <row r="889"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</row>
    <row r="890"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</row>
    <row r="891"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</row>
    <row r="892"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</row>
    <row r="893"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</row>
    <row r="894"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</row>
    <row r="895"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</row>
    <row r="896"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</row>
    <row r="897"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</row>
    <row r="898"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</row>
    <row r="899"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</row>
    <row r="900"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</row>
    <row r="901"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</row>
    <row r="902"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</row>
    <row r="903"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</row>
    <row r="904"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</row>
    <row r="905"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</row>
    <row r="906"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</row>
    <row r="907"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</row>
    <row r="908"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</row>
    <row r="909"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</row>
    <row r="910"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</row>
    <row r="911"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</row>
    <row r="912"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</row>
    <row r="913"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</row>
    <row r="914"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</row>
    <row r="915"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</row>
    <row r="916"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</row>
    <row r="917"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</row>
    <row r="918"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</row>
    <row r="919"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</row>
    <row r="920"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</row>
    <row r="921"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</row>
    <row r="922"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</row>
    <row r="923"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</row>
    <row r="924"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</row>
    <row r="925"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</row>
    <row r="926"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</row>
    <row r="927"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</row>
    <row r="928"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</row>
    <row r="929"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</row>
    <row r="930"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</row>
    <row r="931"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</row>
    <row r="932"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</row>
    <row r="933"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</row>
    <row r="934"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</row>
    <row r="935"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</row>
    <row r="936"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</row>
    <row r="937"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</row>
    <row r="938"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</row>
    <row r="939"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</row>
    <row r="940"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</row>
    <row r="941"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</row>
    <row r="942"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</row>
    <row r="943"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</row>
    <row r="944"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</row>
    <row r="945"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</row>
    <row r="946"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</row>
    <row r="947"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</row>
    <row r="948"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</row>
    <row r="949"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</row>
    <row r="950"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</row>
    <row r="951"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</row>
    <row r="952"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</row>
    <row r="953"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</row>
    <row r="954"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</row>
    <row r="955"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</row>
    <row r="956"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</row>
    <row r="957"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</row>
    <row r="958"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</row>
    <row r="959"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</row>
    <row r="960"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</row>
    <row r="961"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</row>
    <row r="962"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</row>
    <row r="963"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</row>
    <row r="964"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</row>
    <row r="965"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</row>
    <row r="966"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</row>
    <row r="967"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</row>
    <row r="968"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</row>
    <row r="969"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</row>
    <row r="970"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</row>
    <row r="971"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</row>
    <row r="972"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</row>
    <row r="973"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</row>
    <row r="974"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</row>
    <row r="975"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</row>
    <row r="976"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</row>
    <row r="977"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</row>
    <row r="978"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</row>
    <row r="979"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</row>
    <row r="980"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</row>
    <row r="981"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</row>
    <row r="982"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</row>
    <row r="983"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</row>
    <row r="984"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</row>
    <row r="985"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</row>
    <row r="986"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</row>
    <row r="987"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</row>
    <row r="988"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</row>
    <row r="989"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</row>
    <row r="990"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</row>
    <row r="991"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</row>
    <row r="992"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</row>
    <row r="993"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</row>
    <row r="994"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</row>
    <row r="995"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</row>
    <row r="996"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</row>
    <row r="997"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</row>
    <row r="998"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</row>
    <row r="999"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</row>
    <row r="1000"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</row>
    <row r="1001"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</row>
    <row r="1002"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</row>
    <row r="1003"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</row>
    <row r="1004"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</row>
    <row r="1005"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</row>
    <row r="1006"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</row>
    <row r="1007"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</row>
    <row r="1008"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</row>
    <row r="1009"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</row>
    <row r="1010"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</row>
    <row r="1011"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</row>
    <row r="1012"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</row>
    <row r="1013"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</row>
    <row r="1014"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</row>
    <row r="1015"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</row>
    <row r="1016"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</row>
    <row r="1017"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</row>
    <row r="1018"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</row>
    <row r="1019"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</row>
    <row r="1020"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</row>
    <row r="1021"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</row>
    <row r="1022"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</row>
    <row r="1023"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</row>
    <row r="1024"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</row>
    <row r="1025"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</row>
    <row r="1026"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</row>
    <row r="1027"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</row>
    <row r="1028"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</row>
    <row r="1029"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</row>
    <row r="1030"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</row>
    <row r="1031"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</row>
    <row r="1032"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6.5"/>
    <col customWidth="1" min="3" max="3" width="31.5"/>
    <col customWidth="1" min="4" max="4" width="32.25"/>
    <col customWidth="1" min="5" max="5" width="26.63"/>
    <col customWidth="1" min="6" max="6" width="23.25"/>
    <col customWidth="1" min="7" max="7" width="23.38"/>
    <col customWidth="1" min="8" max="8" width="18.63"/>
    <col customWidth="1" min="11" max="11" width="33.63"/>
    <col customWidth="1" min="12" max="12" width="37.0"/>
    <col customWidth="1" min="13" max="13" width="22.75"/>
    <col customWidth="1" min="14" max="14" width="23.63"/>
    <col customWidth="1" min="17" max="17" width="31.13"/>
  </cols>
  <sheetData>
    <row r="1">
      <c r="A1" s="147" t="s">
        <v>171</v>
      </c>
      <c r="B1" s="147" t="s">
        <v>172</v>
      </c>
      <c r="C1" s="147" t="s">
        <v>173</v>
      </c>
      <c r="D1" s="147" t="s">
        <v>174</v>
      </c>
      <c r="E1" s="148" t="s">
        <v>175</v>
      </c>
      <c r="F1" s="149"/>
      <c r="G1" s="149"/>
      <c r="H1" s="149"/>
      <c r="I1" s="8"/>
      <c r="K1" s="8"/>
      <c r="L1" s="8"/>
      <c r="M1" s="8"/>
      <c r="N1" s="8"/>
      <c r="O1" s="8"/>
      <c r="P1" s="8"/>
      <c r="Q1" s="8"/>
      <c r="R1" s="8"/>
      <c r="S1" s="8"/>
      <c r="T1" s="8"/>
    </row>
    <row r="2">
      <c r="A2" s="150">
        <v>80.66666666666667</v>
      </c>
      <c r="B2" s="151">
        <v>80.33333333333334</v>
      </c>
      <c r="C2" s="152">
        <v>83.75</v>
      </c>
      <c r="D2" s="153">
        <v>74.5</v>
      </c>
      <c r="E2" s="154">
        <f t="shared" ref="E2:E6" si="1">SUM(B2+C2)/2</f>
        <v>82.04166667</v>
      </c>
      <c r="F2" s="155"/>
      <c r="G2" s="155"/>
      <c r="H2" s="149"/>
      <c r="I2" s="57"/>
      <c r="J2" s="8"/>
      <c r="K2" s="156"/>
      <c r="L2" s="156"/>
      <c r="M2" s="8"/>
      <c r="N2" s="145"/>
      <c r="O2" s="8"/>
      <c r="P2" s="8"/>
      <c r="Q2" s="8"/>
      <c r="R2" s="8"/>
      <c r="S2" s="8"/>
      <c r="T2" s="8"/>
    </row>
    <row r="3">
      <c r="A3" s="157">
        <v>81.33333333333333</v>
      </c>
      <c r="B3" s="158">
        <v>89.16666666666666</v>
      </c>
      <c r="C3" s="159">
        <v>86.0</v>
      </c>
      <c r="D3" s="159">
        <v>72.0</v>
      </c>
      <c r="E3" s="154">
        <f t="shared" si="1"/>
        <v>87.58333333</v>
      </c>
      <c r="F3" s="155"/>
      <c r="G3" s="155"/>
      <c r="H3" s="149"/>
      <c r="I3" s="57"/>
      <c r="J3" s="8"/>
      <c r="K3" s="156"/>
      <c r="L3" s="140"/>
      <c r="M3" s="8"/>
      <c r="N3" s="145"/>
      <c r="O3" s="145"/>
      <c r="P3" s="145"/>
      <c r="Q3" s="145"/>
      <c r="R3" s="145"/>
      <c r="S3" s="145"/>
      <c r="T3" s="145"/>
    </row>
    <row r="4">
      <c r="A4" s="157">
        <v>78.66666666666666</v>
      </c>
      <c r="B4" s="158">
        <v>88.0</v>
      </c>
      <c r="C4" s="159">
        <v>81.0</v>
      </c>
      <c r="D4" s="159">
        <v>74.0</v>
      </c>
      <c r="E4" s="154">
        <f t="shared" si="1"/>
        <v>84.5</v>
      </c>
      <c r="F4" s="155"/>
      <c r="G4" s="155"/>
      <c r="H4" s="149"/>
      <c r="I4" s="57"/>
      <c r="J4" s="8"/>
      <c r="K4" s="160"/>
      <c r="L4" s="160"/>
      <c r="M4" s="8"/>
      <c r="N4" s="145"/>
      <c r="O4" s="145"/>
      <c r="P4" s="145"/>
      <c r="Q4" s="145"/>
      <c r="R4" s="145"/>
      <c r="S4" s="145"/>
      <c r="T4" s="145"/>
    </row>
    <row r="5">
      <c r="A5" s="161">
        <v>80.83333333333334</v>
      </c>
      <c r="B5" s="151">
        <v>88.16666666666666</v>
      </c>
      <c r="C5" s="153">
        <v>85.25</v>
      </c>
      <c r="D5" s="159">
        <v>72.0</v>
      </c>
      <c r="E5" s="154">
        <f t="shared" si="1"/>
        <v>86.70833333</v>
      </c>
      <c r="F5" s="155"/>
      <c r="G5" s="155"/>
      <c r="H5" s="149"/>
      <c r="I5" s="57"/>
      <c r="J5" s="8"/>
      <c r="K5" s="155"/>
      <c r="L5" s="155"/>
      <c r="M5" s="8"/>
      <c r="N5" s="145"/>
      <c r="O5" s="145"/>
      <c r="P5" s="145"/>
      <c r="Q5" s="145"/>
      <c r="R5" s="145"/>
      <c r="S5" s="145"/>
      <c r="T5" s="145"/>
    </row>
    <row r="6">
      <c r="A6" s="161">
        <v>88.83333333333331</v>
      </c>
      <c r="B6" s="151">
        <v>77.66666666666666</v>
      </c>
      <c r="C6" s="152">
        <v>81.25</v>
      </c>
      <c r="D6" s="153">
        <v>70.5</v>
      </c>
      <c r="E6" s="154">
        <f t="shared" si="1"/>
        <v>79.45833333</v>
      </c>
      <c r="F6" s="155"/>
      <c r="G6" s="155"/>
      <c r="H6" s="149"/>
      <c r="I6" s="57"/>
      <c r="J6" s="8"/>
      <c r="K6" s="155"/>
      <c r="L6" s="162"/>
      <c r="M6" s="8"/>
      <c r="N6" s="145"/>
      <c r="O6" s="145"/>
      <c r="P6" s="145"/>
      <c r="Q6" s="145"/>
      <c r="R6" s="145"/>
      <c r="S6" s="145"/>
      <c r="T6" s="8"/>
    </row>
    <row r="7">
      <c r="A7" s="147" t="s">
        <v>176</v>
      </c>
      <c r="B7" s="147" t="s">
        <v>177</v>
      </c>
      <c r="C7" s="147" t="s">
        <v>178</v>
      </c>
      <c r="D7" s="147" t="s">
        <v>179</v>
      </c>
      <c r="E7" s="148" t="s">
        <v>180</v>
      </c>
      <c r="F7" s="149"/>
      <c r="G7" s="149"/>
      <c r="H7" s="149"/>
      <c r="J7" s="8"/>
      <c r="K7" s="8"/>
      <c r="L7" s="8"/>
      <c r="M7" s="8"/>
      <c r="N7" s="163"/>
      <c r="O7" s="8"/>
      <c r="P7" s="8"/>
      <c r="Q7" s="8"/>
      <c r="R7" s="8"/>
      <c r="S7" s="8"/>
      <c r="T7" s="8"/>
    </row>
    <row r="8">
      <c r="A8" s="161">
        <f t="shared" ref="A8:E8" si="2">A2/90</f>
        <v>0.8962962963</v>
      </c>
      <c r="B8" s="161">
        <f t="shared" si="2"/>
        <v>0.8925925926</v>
      </c>
      <c r="C8" s="161">
        <f t="shared" si="2"/>
        <v>0.9305555556</v>
      </c>
      <c r="D8" s="161">
        <f t="shared" si="2"/>
        <v>0.8277777778</v>
      </c>
      <c r="E8" s="154">
        <f t="shared" si="2"/>
        <v>0.9115740741</v>
      </c>
      <c r="F8" s="155"/>
      <c r="G8" s="155"/>
      <c r="H8" s="164"/>
      <c r="J8" s="8"/>
      <c r="K8" s="57"/>
      <c r="L8" s="57"/>
      <c r="M8" s="57"/>
      <c r="N8" s="57"/>
      <c r="O8" s="8"/>
      <c r="P8" s="8"/>
      <c r="Q8" s="8"/>
      <c r="R8" s="8"/>
      <c r="S8" s="8"/>
      <c r="T8" s="8"/>
    </row>
    <row r="9">
      <c r="A9" s="161">
        <f t="shared" ref="A9:E9" si="3">A3/90</f>
        <v>0.9037037037</v>
      </c>
      <c r="B9" s="161">
        <f t="shared" si="3"/>
        <v>0.9907407407</v>
      </c>
      <c r="C9" s="161">
        <f t="shared" si="3"/>
        <v>0.9555555556</v>
      </c>
      <c r="D9" s="161">
        <f t="shared" si="3"/>
        <v>0.8</v>
      </c>
      <c r="E9" s="154">
        <f t="shared" si="3"/>
        <v>0.9731481481</v>
      </c>
      <c r="F9" s="155"/>
      <c r="G9" s="155"/>
      <c r="H9" s="164"/>
      <c r="J9" s="8"/>
      <c r="K9" s="57"/>
      <c r="L9" s="57"/>
      <c r="M9" s="57"/>
      <c r="N9" s="57"/>
      <c r="O9" s="8"/>
      <c r="P9" s="8"/>
      <c r="Q9" s="8"/>
      <c r="R9" s="8"/>
      <c r="S9" s="8"/>
      <c r="T9" s="8"/>
    </row>
    <row r="10">
      <c r="A10" s="161">
        <f t="shared" ref="A10:E10" si="4">A4/90</f>
        <v>0.8740740741</v>
      </c>
      <c r="B10" s="161">
        <f t="shared" si="4"/>
        <v>0.9777777778</v>
      </c>
      <c r="C10" s="161">
        <f t="shared" si="4"/>
        <v>0.9</v>
      </c>
      <c r="D10" s="161">
        <f t="shared" si="4"/>
        <v>0.8222222222</v>
      </c>
      <c r="E10" s="154">
        <f t="shared" si="4"/>
        <v>0.9388888889</v>
      </c>
      <c r="F10" s="155"/>
      <c r="G10" s="155"/>
      <c r="H10" s="164"/>
      <c r="J10" s="8"/>
      <c r="K10" s="57"/>
      <c r="L10" s="57"/>
      <c r="M10" s="57"/>
      <c r="N10" s="57"/>
      <c r="O10" s="8"/>
      <c r="P10" s="8"/>
      <c r="Q10" s="8"/>
      <c r="R10" s="8"/>
      <c r="S10" s="8"/>
      <c r="T10" s="8"/>
    </row>
    <row r="11">
      <c r="A11" s="161">
        <f t="shared" ref="A11:E11" si="5">A5/90</f>
        <v>0.8981481481</v>
      </c>
      <c r="B11" s="161">
        <f t="shared" si="5"/>
        <v>0.9796296296</v>
      </c>
      <c r="C11" s="161">
        <f t="shared" si="5"/>
        <v>0.9472222222</v>
      </c>
      <c r="D11" s="161">
        <f t="shared" si="5"/>
        <v>0.8</v>
      </c>
      <c r="E11" s="154">
        <f t="shared" si="5"/>
        <v>0.9634259259</v>
      </c>
      <c r="F11" s="155"/>
      <c r="G11" s="155"/>
      <c r="H11" s="164"/>
      <c r="J11" s="8"/>
      <c r="K11" s="57"/>
      <c r="L11" s="57"/>
      <c r="M11" s="57"/>
      <c r="N11" s="5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61">
        <f t="shared" ref="A12:E12" si="6">A6/90</f>
        <v>0.987037037</v>
      </c>
      <c r="B12" s="161">
        <f t="shared" si="6"/>
        <v>0.862962963</v>
      </c>
      <c r="C12" s="161">
        <f t="shared" si="6"/>
        <v>0.9027777778</v>
      </c>
      <c r="D12" s="161">
        <f t="shared" si="6"/>
        <v>0.7833333333</v>
      </c>
      <c r="E12" s="154">
        <f t="shared" si="6"/>
        <v>0.8828703704</v>
      </c>
      <c r="F12" s="155"/>
      <c r="G12" s="155"/>
      <c r="H12" s="164"/>
      <c r="J12" s="8"/>
      <c r="K12" s="57"/>
      <c r="L12" s="57"/>
      <c r="M12" s="57"/>
      <c r="N12" s="5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63"/>
      <c r="B13" s="63"/>
      <c r="C13" s="63"/>
      <c r="D13" s="63"/>
      <c r="F13" s="149"/>
      <c r="G13" s="149"/>
      <c r="H13" s="149"/>
      <c r="J13" s="8"/>
      <c r="K13" s="8"/>
      <c r="L13" s="8"/>
      <c r="M13" s="163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63" t="s">
        <v>181</v>
      </c>
      <c r="B14" s="63" t="s">
        <v>182</v>
      </c>
      <c r="C14" s="63" t="s">
        <v>183</v>
      </c>
      <c r="D14" s="63" t="s">
        <v>184</v>
      </c>
      <c r="E14" s="63" t="s">
        <v>185</v>
      </c>
      <c r="F14" s="63" t="s">
        <v>186</v>
      </c>
      <c r="G14" s="164"/>
      <c r="H14" s="164"/>
      <c r="J14" s="8"/>
      <c r="K14" s="57"/>
      <c r="L14" s="57"/>
      <c r="M14" s="5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45">
        <v>82.83333333333334</v>
      </c>
      <c r="B15" s="45">
        <v>81.25</v>
      </c>
      <c r="C15" s="45">
        <f t="shared" ref="C15:D15" si="7">C21*90</f>
        <v>84.76744186</v>
      </c>
      <c r="D15" s="45">
        <f t="shared" si="7"/>
        <v>67.0212766</v>
      </c>
      <c r="E15" s="45">
        <v>83.0</v>
      </c>
      <c r="F15" s="45">
        <v>78.0</v>
      </c>
      <c r="G15" s="164"/>
      <c r="H15" s="164"/>
      <c r="J15" s="57"/>
      <c r="K15" s="57"/>
      <c r="L15" s="57"/>
      <c r="M15" s="5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45">
        <v>85.5</v>
      </c>
      <c r="B16" s="45">
        <v>89.66666666666666</v>
      </c>
      <c r="C16" s="45">
        <f t="shared" ref="C16:D16" si="8">C22*90</f>
        <v>80.35714286</v>
      </c>
      <c r="D16" s="45">
        <f t="shared" si="8"/>
        <v>64.6875</v>
      </c>
      <c r="E16" s="45">
        <v>84.66666666666666</v>
      </c>
      <c r="F16" s="45">
        <v>85.83333333333334</v>
      </c>
      <c r="G16" s="164"/>
      <c r="H16" s="164"/>
      <c r="J16" s="57"/>
      <c r="K16" s="57"/>
      <c r="L16" s="57"/>
      <c r="M16" s="5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45">
        <v>85.83333333333334</v>
      </c>
      <c r="B17" s="45">
        <v>83.16666666666667</v>
      </c>
      <c r="C17" s="45">
        <f t="shared" ref="C17:D17" si="9">C23*90</f>
        <v>78.26086957</v>
      </c>
      <c r="D17" s="45">
        <f t="shared" si="9"/>
        <v>69.54545455</v>
      </c>
      <c r="E17" s="45">
        <v>86.0</v>
      </c>
      <c r="F17" s="45">
        <v>80.66666666666667</v>
      </c>
      <c r="G17" s="164"/>
      <c r="H17" s="164"/>
      <c r="J17" s="57"/>
      <c r="K17" s="57"/>
      <c r="L17" s="57"/>
      <c r="M17" s="5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45">
        <v>84.86666666666666</v>
      </c>
      <c r="B18" s="45">
        <v>83.14999999999999</v>
      </c>
      <c r="C18" s="45">
        <f t="shared" ref="C18:D18" si="10">C24*90</f>
        <v>82.5</v>
      </c>
      <c r="D18" s="45">
        <f t="shared" si="10"/>
        <v>60</v>
      </c>
      <c r="E18" s="45">
        <v>87.5</v>
      </c>
      <c r="F18" s="45">
        <v>79.5</v>
      </c>
      <c r="G18" s="164"/>
      <c r="H18" s="164"/>
      <c r="J18" s="57"/>
      <c r="K18" s="57"/>
      <c r="L18" s="57"/>
      <c r="M18" s="57"/>
      <c r="N18" s="8"/>
      <c r="O18" s="8"/>
      <c r="P18" s="8"/>
      <c r="Q18" s="8"/>
      <c r="R18" s="8"/>
      <c r="S18" s="8"/>
      <c r="T18" s="8"/>
      <c r="U18" s="57"/>
      <c r="V18" s="8"/>
      <c r="W18" s="8"/>
      <c r="X18" s="8"/>
      <c r="Y18" s="8"/>
      <c r="Z18" s="8"/>
      <c r="AA18" s="8"/>
      <c r="AB18" s="8"/>
    </row>
    <row r="19">
      <c r="A19" s="44">
        <v>86.0</v>
      </c>
      <c r="B19" s="44">
        <v>84.08333333333333</v>
      </c>
      <c r="C19" s="44">
        <f t="shared" ref="C19:D19" si="11">C25*90</f>
        <v>73.25581395</v>
      </c>
      <c r="D19" s="44">
        <f t="shared" si="11"/>
        <v>67.9787234</v>
      </c>
      <c r="E19" s="45">
        <v>86.83333333333331</v>
      </c>
      <c r="F19" s="45">
        <v>82.66666666666666</v>
      </c>
      <c r="J19" s="57"/>
      <c r="K19" s="8"/>
      <c r="L19" s="8"/>
      <c r="M19" s="8"/>
      <c r="N19" s="8"/>
      <c r="O19" s="8"/>
      <c r="P19" s="8"/>
      <c r="Q19" s="8"/>
      <c r="R19" s="8"/>
      <c r="S19" s="8"/>
      <c r="T19" s="8"/>
      <c r="U19" s="57"/>
      <c r="V19" s="8"/>
      <c r="W19" s="8"/>
      <c r="X19" s="8"/>
      <c r="Y19" s="8"/>
      <c r="Z19" s="8"/>
      <c r="AA19" s="8"/>
      <c r="AB19" s="8"/>
    </row>
    <row r="20">
      <c r="A20" s="165" t="s">
        <v>187</v>
      </c>
      <c r="B20" s="165" t="s">
        <v>188</v>
      </c>
      <c r="C20" s="165" t="s">
        <v>189</v>
      </c>
      <c r="D20" s="165" t="s">
        <v>190</v>
      </c>
      <c r="E20" s="63" t="s">
        <v>191</v>
      </c>
      <c r="F20" s="63" t="s">
        <v>192</v>
      </c>
      <c r="J20" s="8"/>
      <c r="K20" s="8"/>
      <c r="L20" s="163"/>
      <c r="M20" s="8"/>
      <c r="N20" s="8"/>
      <c r="O20" s="8"/>
      <c r="P20" s="8"/>
      <c r="Q20" s="8"/>
      <c r="R20" s="8"/>
      <c r="S20" s="8"/>
      <c r="T20" s="8"/>
      <c r="U20" s="57"/>
      <c r="V20" s="8"/>
      <c r="W20" s="8"/>
      <c r="X20" s="8"/>
      <c r="Y20" s="8"/>
      <c r="Z20" s="8"/>
      <c r="AA20" s="8"/>
      <c r="AB20" s="8"/>
    </row>
    <row r="21">
      <c r="A21" s="45">
        <f t="shared" ref="A21:B21" si="12">A15/90</f>
        <v>0.9203703704</v>
      </c>
      <c r="B21" s="45">
        <f t="shared" si="12"/>
        <v>0.9027777778</v>
      </c>
      <c r="C21" s="45">
        <v>0.9418604651162791</v>
      </c>
      <c r="D21" s="45">
        <v>0.7446808510638298</v>
      </c>
      <c r="E21" s="45">
        <f t="shared" ref="E21:F21" si="13">E15/90</f>
        <v>0.9222222222</v>
      </c>
      <c r="F21" s="45">
        <f t="shared" si="13"/>
        <v>0.8666666667</v>
      </c>
      <c r="J21" s="8"/>
      <c r="K21" s="57"/>
      <c r="L21" s="57"/>
      <c r="M21" s="8"/>
      <c r="N21" s="163"/>
      <c r="O21" s="8"/>
      <c r="P21" s="8"/>
      <c r="Q21" s="8"/>
      <c r="R21" s="8"/>
      <c r="S21" s="8"/>
      <c r="T21" s="8"/>
      <c r="U21" s="57"/>
      <c r="V21" s="8"/>
      <c r="W21" s="8"/>
      <c r="X21" s="8"/>
      <c r="Y21" s="8"/>
      <c r="Z21" s="8"/>
      <c r="AA21" s="8"/>
      <c r="AB21" s="8"/>
    </row>
    <row r="22">
      <c r="A22" s="45">
        <f t="shared" ref="A22:B22" si="14">A16/90</f>
        <v>0.95</v>
      </c>
      <c r="B22" s="45">
        <f t="shared" si="14"/>
        <v>0.9962962963</v>
      </c>
      <c r="C22" s="45">
        <v>0.8928571428571429</v>
      </c>
      <c r="D22" s="45">
        <v>0.71875</v>
      </c>
      <c r="E22" s="45">
        <f t="shared" ref="E22:F22" si="15">E16/90</f>
        <v>0.9407407407</v>
      </c>
      <c r="F22" s="45">
        <f t="shared" si="15"/>
        <v>0.9537037037</v>
      </c>
      <c r="J22" s="8"/>
      <c r="K22" s="57"/>
      <c r="L22" s="57"/>
      <c r="M22" s="8"/>
      <c r="N22" s="8"/>
      <c r="O22" s="8"/>
      <c r="P22" s="8"/>
      <c r="Q22" s="8"/>
      <c r="R22" s="8"/>
      <c r="S22" s="8"/>
      <c r="T22" s="8"/>
      <c r="U22" s="57"/>
      <c r="V22" s="8"/>
      <c r="W22" s="8"/>
      <c r="X22" s="8"/>
      <c r="Y22" s="8"/>
      <c r="Z22" s="8"/>
      <c r="AA22" s="8"/>
      <c r="AB22" s="8"/>
    </row>
    <row r="23">
      <c r="A23" s="45">
        <f t="shared" ref="A23:B23" si="16">A17/90</f>
        <v>0.9537037037</v>
      </c>
      <c r="B23" s="45">
        <f t="shared" si="16"/>
        <v>0.9240740741</v>
      </c>
      <c r="C23" s="45">
        <v>0.8695652173913043</v>
      </c>
      <c r="D23" s="45">
        <v>0.7727272727272727</v>
      </c>
      <c r="E23" s="45">
        <f t="shared" ref="E23:F23" si="17">E17/90</f>
        <v>0.9555555556</v>
      </c>
      <c r="F23" s="45">
        <f t="shared" si="17"/>
        <v>0.8962962963</v>
      </c>
      <c r="J23" s="8"/>
      <c r="K23" s="57"/>
      <c r="L23" s="57"/>
      <c r="M23" s="8"/>
      <c r="N23" s="8"/>
      <c r="O23" s="57"/>
      <c r="P23" s="57"/>
      <c r="Q23" s="57"/>
      <c r="R23" s="57"/>
      <c r="S23" s="57"/>
      <c r="T23" s="57"/>
      <c r="U23" s="8"/>
      <c r="V23" s="8"/>
      <c r="W23" s="8"/>
      <c r="X23" s="8"/>
      <c r="Y23" s="8"/>
      <c r="Z23" s="8"/>
      <c r="AA23" s="8"/>
      <c r="AB23" s="8"/>
    </row>
    <row r="24">
      <c r="A24" s="45">
        <f t="shared" ref="A24:B24" si="18">A18/90</f>
        <v>0.942962963</v>
      </c>
      <c r="B24" s="45">
        <f t="shared" si="18"/>
        <v>0.9238888889</v>
      </c>
      <c r="C24" s="45">
        <v>0.9166666666666666</v>
      </c>
      <c r="D24" s="45">
        <v>0.6666666666666666</v>
      </c>
      <c r="E24" s="45">
        <f t="shared" ref="E24:F24" si="19">E18/90</f>
        <v>0.9722222222</v>
      </c>
      <c r="F24" s="45">
        <f t="shared" si="19"/>
        <v>0.8833333333</v>
      </c>
      <c r="J24" s="8"/>
      <c r="K24" s="57"/>
      <c r="L24" s="57"/>
      <c r="M24" s="8"/>
      <c r="N24" s="8"/>
      <c r="O24" s="57"/>
      <c r="P24" s="57"/>
      <c r="Q24" s="57"/>
      <c r="R24" s="57"/>
      <c r="S24" s="57"/>
      <c r="T24" s="57"/>
      <c r="U24" s="8"/>
      <c r="V24" s="8"/>
      <c r="W24" s="8"/>
      <c r="X24" s="8"/>
      <c r="Y24" s="8"/>
      <c r="Z24" s="8"/>
      <c r="AA24" s="8"/>
      <c r="AB24" s="8"/>
    </row>
    <row r="25">
      <c r="A25" s="45">
        <f t="shared" ref="A25:B25" si="20">A19/90</f>
        <v>0.9555555556</v>
      </c>
      <c r="B25" s="45">
        <f t="shared" si="20"/>
        <v>0.9342592593</v>
      </c>
      <c r="C25" s="45">
        <v>0.813953488372093</v>
      </c>
      <c r="D25" s="45">
        <v>0.7553191489361702</v>
      </c>
      <c r="E25" s="45">
        <f t="shared" ref="E25:F25" si="21">E19/90</f>
        <v>0.9648148148</v>
      </c>
      <c r="F25" s="45">
        <f t="shared" si="21"/>
        <v>0.9185185185</v>
      </c>
      <c r="J25" s="8"/>
      <c r="K25" s="57"/>
      <c r="L25" s="57"/>
      <c r="M25" s="8"/>
      <c r="N25" s="8"/>
      <c r="O25" s="57"/>
      <c r="P25" s="8"/>
      <c r="Q25" s="5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147"/>
      <c r="B26" s="147"/>
      <c r="C26" s="166"/>
      <c r="D26" s="166"/>
      <c r="E26" s="167"/>
      <c r="J26" s="8"/>
      <c r="K26" s="8"/>
      <c r="L26" s="168"/>
      <c r="M26" s="163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169"/>
      <c r="B27" s="169"/>
      <c r="C27" s="170"/>
      <c r="D27" s="170"/>
      <c r="J27" s="8"/>
      <c r="K27" s="57"/>
      <c r="L27" s="57"/>
      <c r="M27" s="5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169"/>
      <c r="B28" s="169"/>
      <c r="C28" s="170"/>
      <c r="D28" s="170"/>
      <c r="J28" s="8"/>
      <c r="K28" s="57"/>
      <c r="L28" s="57"/>
      <c r="M28" s="5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169"/>
      <c r="B29" s="169"/>
      <c r="C29" s="170"/>
      <c r="D29" s="170"/>
      <c r="J29" s="8"/>
      <c r="K29" s="57"/>
      <c r="L29" s="57"/>
      <c r="M29" s="5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169"/>
      <c r="B30" s="169"/>
      <c r="C30" s="170"/>
      <c r="D30" s="170"/>
      <c r="J30" s="8"/>
      <c r="K30" s="57"/>
      <c r="L30" s="57"/>
      <c r="M30" s="5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169"/>
      <c r="B31" s="169"/>
      <c r="C31" s="170"/>
      <c r="D31" s="170"/>
      <c r="J31" s="8"/>
      <c r="K31" s="57"/>
      <c r="L31" s="57"/>
      <c r="M31" s="5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E32" s="167"/>
      <c r="J32" s="8"/>
      <c r="K32" s="8"/>
      <c r="L32" s="17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J33" s="8"/>
      <c r="K33" s="57"/>
      <c r="L33" s="57"/>
      <c r="M33" s="8"/>
      <c r="N33" s="8"/>
      <c r="O33" s="8"/>
      <c r="P33" s="8"/>
      <c r="Q33" s="8"/>
      <c r="R33" s="8"/>
      <c r="S33" s="8"/>
      <c r="T33" s="8"/>
      <c r="U33" s="8"/>
      <c r="V33" s="57"/>
      <c r="W33" s="57"/>
      <c r="X33" s="57"/>
      <c r="Y33" s="57"/>
      <c r="Z33" s="57"/>
      <c r="AA33" s="57"/>
      <c r="AB33" s="8"/>
    </row>
    <row r="34">
      <c r="J34" s="8"/>
      <c r="K34" s="57"/>
      <c r="L34" s="57"/>
      <c r="M34" s="8"/>
      <c r="N34" s="8"/>
      <c r="O34" s="8"/>
      <c r="P34" s="8"/>
      <c r="Q34" s="8"/>
      <c r="R34" s="8"/>
      <c r="S34" s="8"/>
      <c r="T34" s="8"/>
      <c r="U34" s="8"/>
      <c r="V34" s="57"/>
      <c r="W34" s="57"/>
      <c r="X34" s="57"/>
      <c r="Y34" s="57"/>
      <c r="Z34" s="57"/>
      <c r="AA34" s="57"/>
      <c r="AB34" s="8"/>
    </row>
    <row r="35">
      <c r="J35" s="8"/>
      <c r="K35" s="57"/>
      <c r="L35" s="57"/>
      <c r="M35" s="8"/>
      <c r="N35" s="8"/>
      <c r="O35" s="8"/>
      <c r="P35" s="8"/>
      <c r="Q35" s="8"/>
      <c r="R35" s="8"/>
      <c r="S35" s="8"/>
      <c r="T35" s="8"/>
      <c r="U35" s="8"/>
      <c r="V35" s="57"/>
      <c r="W35" s="8"/>
      <c r="X35" s="57"/>
      <c r="Y35" s="8"/>
      <c r="Z35" s="8"/>
      <c r="AA35" s="8"/>
      <c r="AB35" s="8"/>
    </row>
    <row r="36">
      <c r="J36" s="8"/>
      <c r="K36" s="57"/>
      <c r="L36" s="5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J37" s="8"/>
      <c r="K37" s="57"/>
      <c r="L37" s="5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J38" s="8"/>
      <c r="K38" s="57"/>
      <c r="L38" s="5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Q39" s="8"/>
      <c r="R39" s="57"/>
      <c r="S39" s="57"/>
      <c r="T39" s="57"/>
      <c r="U39" s="8"/>
      <c r="V39" s="8"/>
      <c r="W39" s="8"/>
      <c r="X39" s="8"/>
      <c r="Y39" s="8"/>
      <c r="Z39" s="8"/>
      <c r="AA39" s="8"/>
      <c r="AB39" s="8"/>
    </row>
    <row r="40">
      <c r="Q40" s="8"/>
      <c r="R40" s="57"/>
      <c r="S40" s="57"/>
      <c r="T40" s="57"/>
      <c r="U40" s="8"/>
      <c r="V40" s="8"/>
      <c r="W40" s="8"/>
      <c r="X40" s="8"/>
      <c r="Y40" s="8"/>
      <c r="Z40" s="8"/>
      <c r="AA40" s="8"/>
      <c r="AB40" s="8"/>
    </row>
    <row r="41">
      <c r="Q41" s="8"/>
      <c r="R41" s="57"/>
      <c r="S41" s="57"/>
      <c r="T41" s="57"/>
      <c r="U41" s="8"/>
      <c r="V41" s="8"/>
      <c r="W41" s="8"/>
      <c r="X41" s="8"/>
      <c r="Y41" s="8"/>
      <c r="Z41" s="8"/>
      <c r="AA41" s="8"/>
      <c r="AB41" s="8"/>
    </row>
    <row r="42">
      <c r="E42" s="167"/>
      <c r="Q42" s="8"/>
      <c r="R42" s="8"/>
      <c r="S42" s="168"/>
      <c r="T42" s="8"/>
      <c r="U42" s="8"/>
      <c r="V42" s="8"/>
      <c r="W42" s="8"/>
      <c r="X42" s="8"/>
      <c r="Y42" s="8"/>
      <c r="Z42" s="8"/>
      <c r="AA42" s="8"/>
      <c r="AB42" s="8"/>
    </row>
    <row r="43">
      <c r="Q43" s="8"/>
      <c r="R43" s="57"/>
      <c r="S43" s="57"/>
      <c r="T43" s="8"/>
      <c r="U43" s="8"/>
      <c r="V43" s="8"/>
      <c r="W43" s="8"/>
      <c r="X43" s="8"/>
      <c r="Y43" s="8"/>
      <c r="Z43" s="8"/>
      <c r="AA43" s="8"/>
      <c r="AB43" s="8"/>
    </row>
    <row r="44">
      <c r="Q44" s="8"/>
      <c r="R44" s="57"/>
      <c r="S44" s="57"/>
      <c r="T44" s="8"/>
      <c r="U44" s="8"/>
      <c r="V44" s="8"/>
      <c r="W44" s="8"/>
      <c r="X44" s="8"/>
      <c r="Y44" s="8"/>
      <c r="Z44" s="8"/>
      <c r="AA44" s="8"/>
      <c r="AB44" s="8"/>
    </row>
    <row r="45">
      <c r="Q45" s="8"/>
      <c r="R45" s="57"/>
      <c r="S45" s="57"/>
      <c r="T45" s="8"/>
      <c r="U45" s="8"/>
      <c r="V45" s="8"/>
      <c r="W45" s="8"/>
      <c r="X45" s="8"/>
      <c r="Y45" s="8"/>
      <c r="Z45" s="8"/>
      <c r="AA45" s="8"/>
      <c r="AB45" s="8"/>
    </row>
    <row r="46">
      <c r="Q46" s="8"/>
      <c r="R46" s="57"/>
      <c r="S46" s="57"/>
      <c r="T46" s="8"/>
      <c r="U46" s="8"/>
      <c r="V46" s="8"/>
      <c r="W46" s="8"/>
      <c r="X46" s="8"/>
      <c r="Y46" s="8"/>
      <c r="Z46" s="8"/>
      <c r="AA46" s="8"/>
      <c r="AB46" s="8"/>
    </row>
    <row r="47">
      <c r="Q47" s="8"/>
      <c r="R47" s="57"/>
      <c r="S47" s="57"/>
      <c r="T47" s="8"/>
      <c r="U47" s="8"/>
      <c r="V47" s="8"/>
      <c r="W47" s="8"/>
      <c r="X47" s="8"/>
      <c r="Y47" s="8"/>
      <c r="Z47" s="8"/>
      <c r="AA47" s="8"/>
      <c r="AB47" s="8"/>
    </row>
    <row r="48">
      <c r="E48" s="167"/>
    </row>
    <row r="113">
      <c r="D113" s="8"/>
      <c r="E113" s="168"/>
      <c r="F113" s="8"/>
    </row>
    <row r="114">
      <c r="D114" s="57"/>
      <c r="E114" s="57"/>
      <c r="F114" s="57"/>
    </row>
    <row r="115">
      <c r="D115" s="57"/>
      <c r="E115" s="57"/>
      <c r="F115" s="57"/>
    </row>
    <row r="116">
      <c r="D116" s="57"/>
      <c r="E116" s="57"/>
      <c r="F116" s="57"/>
    </row>
    <row r="117">
      <c r="D117" s="57"/>
      <c r="E117" s="57"/>
      <c r="F117" s="57"/>
    </row>
    <row r="118">
      <c r="D118" s="57"/>
      <c r="E118" s="57"/>
      <c r="F118" s="57"/>
    </row>
    <row r="119">
      <c r="D119" s="8"/>
      <c r="E119" s="168"/>
      <c r="F119" s="8"/>
    </row>
    <row r="120">
      <c r="D120" s="57"/>
      <c r="E120" s="57"/>
      <c r="F120" s="8"/>
    </row>
    <row r="121">
      <c r="D121" s="57"/>
      <c r="E121" s="57"/>
      <c r="F121" s="8"/>
    </row>
    <row r="122">
      <c r="D122" s="57"/>
      <c r="E122" s="57"/>
      <c r="F122" s="8"/>
    </row>
    <row r="123">
      <c r="D123" s="57"/>
      <c r="E123" s="57"/>
      <c r="F123" s="8"/>
    </row>
    <row r="124">
      <c r="D124" s="57"/>
      <c r="E124" s="57"/>
      <c r="F124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2.38"/>
    <col customWidth="1" min="3" max="3" width="24.38"/>
    <col customWidth="1" min="4" max="5" width="13.25"/>
    <col customWidth="1" min="6" max="6" width="10.0"/>
    <col customWidth="1" min="7" max="7" width="10.75"/>
    <col customWidth="1" min="8" max="8" width="9.25"/>
    <col customWidth="1" min="9" max="9" width="9.88"/>
    <col customWidth="1" min="10" max="11" width="29.63"/>
    <col customWidth="1" min="12" max="12" width="26.88"/>
    <col customWidth="1" min="13" max="13" width="15.5"/>
    <col customWidth="1" hidden="1" min="14" max="14" width="29.75"/>
    <col customWidth="1" min="15" max="15" width="12.38"/>
    <col customWidth="1" min="16" max="16" width="21.38"/>
    <col customWidth="1" min="17" max="17" width="10.0"/>
    <col customWidth="1" min="18" max="18" width="10.75"/>
    <col customWidth="1" min="19" max="19" width="9.25"/>
    <col customWidth="1" min="20" max="20" width="9.88"/>
    <col customWidth="1" min="21" max="22" width="13.25"/>
    <col customWidth="1" min="23" max="23" width="29.63"/>
    <col customWidth="1" min="24" max="24" width="26.38"/>
    <col customWidth="1" min="25" max="25" width="12.38"/>
    <col customWidth="1" min="26" max="26" width="21.38"/>
  </cols>
  <sheetData>
    <row r="1">
      <c r="A1" s="149" t="s">
        <v>137</v>
      </c>
      <c r="B1" s="149" t="s">
        <v>138</v>
      </c>
      <c r="C1" s="149" t="s">
        <v>146</v>
      </c>
      <c r="D1" s="69" t="s">
        <v>140</v>
      </c>
      <c r="E1" s="69" t="s">
        <v>141</v>
      </c>
      <c r="F1" s="69" t="s">
        <v>193</v>
      </c>
      <c r="G1" s="69" t="s">
        <v>194</v>
      </c>
      <c r="H1" s="69" t="s">
        <v>195</v>
      </c>
      <c r="I1" s="69" t="s">
        <v>196</v>
      </c>
      <c r="J1" s="69" t="s">
        <v>142</v>
      </c>
      <c r="K1" s="69" t="s">
        <v>143</v>
      </c>
      <c r="L1" s="172" t="s">
        <v>197</v>
      </c>
      <c r="M1" s="67" t="s">
        <v>145</v>
      </c>
      <c r="N1" s="31" t="s">
        <v>198</v>
      </c>
      <c r="O1" s="31" t="s">
        <v>199</v>
      </c>
      <c r="P1" s="69" t="s">
        <v>146</v>
      </c>
      <c r="Q1" s="69" t="s">
        <v>193</v>
      </c>
      <c r="R1" s="69" t="s">
        <v>194</v>
      </c>
      <c r="S1" s="69" t="s">
        <v>195</v>
      </c>
      <c r="T1" s="69" t="s">
        <v>196</v>
      </c>
      <c r="U1" s="69" t="s">
        <v>140</v>
      </c>
      <c r="V1" s="69" t="s">
        <v>141</v>
      </c>
      <c r="W1" s="21" t="s">
        <v>143</v>
      </c>
      <c r="X1" s="21" t="s">
        <v>144</v>
      </c>
      <c r="Y1" s="67"/>
      <c r="Z1" s="67"/>
    </row>
    <row r="2">
      <c r="A2" s="64">
        <v>-8.0</v>
      </c>
      <c r="B2" s="64">
        <v>5.0</v>
      </c>
      <c r="C2" s="31">
        <f>SUM(P31+P26+P21)/3</f>
        <v>3.083333333</v>
      </c>
      <c r="D2" s="31">
        <f t="shared" ref="D2:I2" si="1">SUM(U31+U26+U21)/3</f>
        <v>3.3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>SUM(W31+W26+W21)/3</f>
        <v>0</v>
      </c>
      <c r="K2" s="31">
        <f t="shared" ref="K2:L2" si="2">SUM(W31+W26+W21)/3</f>
        <v>0</v>
      </c>
      <c r="L2" s="31">
        <f t="shared" si="2"/>
        <v>0</v>
      </c>
      <c r="M2" s="173">
        <v>1.0</v>
      </c>
      <c r="N2" s="148">
        <v>0.0</v>
      </c>
      <c r="O2" s="148">
        <v>1.0</v>
      </c>
      <c r="P2" s="174">
        <v>1.9666666666666668</v>
      </c>
      <c r="Q2" s="174"/>
      <c r="R2" s="174"/>
      <c r="S2" s="174"/>
      <c r="T2" s="174"/>
      <c r="U2" s="175">
        <v>2.333333333333333</v>
      </c>
      <c r="V2" s="175"/>
      <c r="X2" s="176"/>
      <c r="Y2" s="176"/>
    </row>
    <row r="3">
      <c r="A3" s="177">
        <v>-6.0</v>
      </c>
      <c r="B3" s="64">
        <v>4.0</v>
      </c>
      <c r="C3" s="178">
        <f>SUM(P30+P25+P20)/3</f>
        <v>2.65</v>
      </c>
      <c r="D3" s="178">
        <f t="shared" ref="D3:I3" si="3">SUM(U30+U25+U20)/3</f>
        <v>2.888888889</v>
      </c>
      <c r="E3" s="178">
        <f t="shared" si="3"/>
        <v>0</v>
      </c>
      <c r="F3" s="178">
        <f t="shared" si="3"/>
        <v>0</v>
      </c>
      <c r="G3" s="178">
        <f t="shared" si="3"/>
        <v>0</v>
      </c>
      <c r="H3" s="178">
        <f t="shared" si="3"/>
        <v>0</v>
      </c>
      <c r="I3" s="178">
        <f t="shared" si="3"/>
        <v>0</v>
      </c>
      <c r="J3" s="178">
        <f>SUM(W30+W25+W20)/3</f>
        <v>0</v>
      </c>
      <c r="K3" s="178">
        <f t="shared" ref="K3:L3" si="4">SUM(W30+W25+W20)/3</f>
        <v>0</v>
      </c>
      <c r="L3" s="178">
        <f t="shared" si="4"/>
        <v>0</v>
      </c>
      <c r="M3" s="173">
        <v>2.0</v>
      </c>
      <c r="N3" s="148">
        <v>2.0</v>
      </c>
      <c r="O3" s="148">
        <v>2.0</v>
      </c>
      <c r="P3" s="174">
        <v>2.2333333333333334</v>
      </c>
      <c r="Q3" s="174"/>
      <c r="R3" s="174"/>
      <c r="S3" s="174"/>
      <c r="T3" s="174"/>
      <c r="U3" s="175">
        <v>2.433333333333333</v>
      </c>
      <c r="V3" s="174"/>
      <c r="X3" s="176"/>
      <c r="Y3" s="176"/>
    </row>
    <row r="4">
      <c r="A4" s="148">
        <v>-4.0</v>
      </c>
      <c r="B4" s="148">
        <v>3.0</v>
      </c>
      <c r="C4" s="173">
        <f>SUM(P29+P24+P19)/3</f>
        <v>2.355555556</v>
      </c>
      <c r="D4" s="173">
        <f t="shared" ref="D4:I4" si="5">SUM(U29+U24+U19)/3</f>
        <v>2.488888889</v>
      </c>
      <c r="E4" s="173">
        <f t="shared" si="5"/>
        <v>0</v>
      </c>
      <c r="F4" s="173">
        <f t="shared" si="5"/>
        <v>0</v>
      </c>
      <c r="G4" s="173">
        <f t="shared" si="5"/>
        <v>0</v>
      </c>
      <c r="H4" s="173">
        <f t="shared" si="5"/>
        <v>0</v>
      </c>
      <c r="I4" s="173">
        <f t="shared" si="5"/>
        <v>0</v>
      </c>
      <c r="J4" s="173">
        <f>SUM(W29+W24+W19)/3</f>
        <v>0</v>
      </c>
      <c r="K4" s="173">
        <f t="shared" ref="K4:L4" si="6">SUM(W29+W24+W19)/3</f>
        <v>0</v>
      </c>
      <c r="L4" s="173">
        <f t="shared" si="6"/>
        <v>0</v>
      </c>
      <c r="M4" s="173">
        <v>3.0</v>
      </c>
      <c r="N4" s="148">
        <v>4.0</v>
      </c>
      <c r="O4" s="148">
        <v>3.0</v>
      </c>
      <c r="P4" s="174">
        <v>3.1</v>
      </c>
      <c r="Q4" s="174"/>
      <c r="R4" s="174"/>
      <c r="S4" s="174"/>
      <c r="T4" s="174"/>
      <c r="U4" s="175">
        <v>3.4</v>
      </c>
      <c r="V4" s="174"/>
    </row>
    <row r="5">
      <c r="A5" s="148">
        <v>-2.0</v>
      </c>
      <c r="B5" s="148">
        <v>2.0</v>
      </c>
      <c r="C5" s="173">
        <f>SUM(P28+P23+P18)/3</f>
        <v>1.761111111</v>
      </c>
      <c r="D5" s="173">
        <f t="shared" ref="D5:I5" si="7">SUM(U28+U23+U18)/3</f>
        <v>1.677777778</v>
      </c>
      <c r="E5" s="173">
        <f t="shared" si="7"/>
        <v>0</v>
      </c>
      <c r="F5" s="173">
        <f t="shared" si="7"/>
        <v>0</v>
      </c>
      <c r="G5" s="173">
        <f t="shared" si="7"/>
        <v>0</v>
      </c>
      <c r="H5" s="173">
        <f t="shared" si="7"/>
        <v>0</v>
      </c>
      <c r="I5" s="173">
        <f t="shared" si="7"/>
        <v>0</v>
      </c>
      <c r="J5" s="173">
        <f>SUM(W28+W23+W18)/3</f>
        <v>0</v>
      </c>
      <c r="K5" s="173">
        <f t="shared" ref="K5:L5" si="8">SUM(W28+W23+W18)/3</f>
        <v>0</v>
      </c>
      <c r="L5" s="173">
        <f t="shared" si="8"/>
        <v>0</v>
      </c>
      <c r="M5" s="173">
        <v>4.0</v>
      </c>
      <c r="N5" s="148">
        <v>6.0</v>
      </c>
      <c r="O5" s="148">
        <v>4.0</v>
      </c>
      <c r="P5" s="174">
        <v>4.749999999999999</v>
      </c>
      <c r="Q5" s="174"/>
      <c r="R5" s="174"/>
      <c r="S5" s="174"/>
      <c r="T5" s="174"/>
      <c r="U5" s="175">
        <v>4.7666666666666675</v>
      </c>
      <c r="V5" s="174"/>
    </row>
    <row r="6">
      <c r="A6" s="148">
        <v>0.0</v>
      </c>
      <c r="B6" s="148">
        <v>1.0</v>
      </c>
      <c r="C6" s="173">
        <f>SUM(P2+P7+P12+P17+P22+P27)/6</f>
        <v>1.813888889</v>
      </c>
      <c r="D6" s="173">
        <f t="shared" ref="D6:I6" si="9">SUM(U2+U7+U12+U17+U22+U27)/6</f>
        <v>1.933333333</v>
      </c>
      <c r="E6" s="173">
        <f t="shared" si="9"/>
        <v>0</v>
      </c>
      <c r="F6" s="173">
        <f t="shared" si="9"/>
        <v>0</v>
      </c>
      <c r="G6" s="173">
        <f t="shared" si="9"/>
        <v>0</v>
      </c>
      <c r="H6" s="173">
        <f t="shared" si="9"/>
        <v>0</v>
      </c>
      <c r="I6" s="173">
        <f t="shared" si="9"/>
        <v>0</v>
      </c>
      <c r="J6" s="173">
        <f>SUM(W2+W7+W12+W17+W22+W27)/6</f>
        <v>0</v>
      </c>
      <c r="K6" s="173">
        <f t="shared" ref="K6:L6" si="10">SUM(W2+W7+W12+W17+W22+W27)/6</f>
        <v>0</v>
      </c>
      <c r="L6" s="173">
        <f t="shared" si="10"/>
        <v>0</v>
      </c>
      <c r="M6" s="173">
        <v>5.0</v>
      </c>
      <c r="N6" s="148">
        <v>8.0</v>
      </c>
      <c r="O6" s="148">
        <v>5.0</v>
      </c>
      <c r="P6" s="174">
        <v>4.383333333333334</v>
      </c>
      <c r="Q6" s="174"/>
      <c r="R6" s="174"/>
      <c r="S6" s="174"/>
      <c r="T6" s="174"/>
      <c r="U6" s="175">
        <v>4.633333333333334</v>
      </c>
      <c r="V6" s="174"/>
    </row>
    <row r="7">
      <c r="A7" s="148">
        <v>2.0</v>
      </c>
      <c r="B7" s="148">
        <v>2.0</v>
      </c>
      <c r="C7" s="173">
        <f t="shared" ref="C7:C10" si="13">SUM(P3+P8+P13)/3</f>
        <v>2.377777778</v>
      </c>
      <c r="D7" s="173">
        <f t="shared" ref="D7:I7" si="11">SUM(U3+U8+U13)/3</f>
        <v>2.622222222</v>
      </c>
      <c r="E7" s="173">
        <f t="shared" si="11"/>
        <v>0</v>
      </c>
      <c r="F7" s="173">
        <f t="shared" si="11"/>
        <v>0</v>
      </c>
      <c r="G7" s="173">
        <f t="shared" si="11"/>
        <v>0</v>
      </c>
      <c r="H7" s="173">
        <f t="shared" si="11"/>
        <v>0</v>
      </c>
      <c r="I7" s="173">
        <f t="shared" si="11"/>
        <v>0</v>
      </c>
      <c r="J7" s="173">
        <f t="shared" ref="J7:J10" si="15">SUM(W3+W8+W13)/3</f>
        <v>0</v>
      </c>
      <c r="K7" s="173">
        <f t="shared" ref="K7:L7" si="12">SUM(W3+W8+W13)/3</f>
        <v>0</v>
      </c>
      <c r="L7" s="173">
        <f t="shared" si="12"/>
        <v>0</v>
      </c>
      <c r="M7" s="173">
        <v>6.0</v>
      </c>
      <c r="N7" s="148">
        <v>0.0</v>
      </c>
      <c r="O7" s="148">
        <v>1.0</v>
      </c>
      <c r="P7" s="179">
        <v>1.8166666666666669</v>
      </c>
      <c r="Q7" s="179"/>
      <c r="R7" s="179"/>
      <c r="S7" s="179"/>
      <c r="T7" s="179"/>
      <c r="U7" s="180">
        <v>1.8666666666666667</v>
      </c>
      <c r="V7" s="179"/>
    </row>
    <row r="8">
      <c r="A8" s="148">
        <v>4.0</v>
      </c>
      <c r="B8" s="148">
        <v>3.0</v>
      </c>
      <c r="C8" s="173">
        <f t="shared" si="13"/>
        <v>3.344444444</v>
      </c>
      <c r="D8" s="173">
        <f t="shared" ref="D8:I8" si="14">SUM(U4+U9+U14)/3</f>
        <v>3.555555556</v>
      </c>
      <c r="E8" s="173">
        <f t="shared" si="14"/>
        <v>0</v>
      </c>
      <c r="F8" s="173">
        <f t="shared" si="14"/>
        <v>0</v>
      </c>
      <c r="G8" s="173">
        <f t="shared" si="14"/>
        <v>0</v>
      </c>
      <c r="H8" s="173">
        <f t="shared" si="14"/>
        <v>0</v>
      </c>
      <c r="I8" s="173">
        <f t="shared" si="14"/>
        <v>0</v>
      </c>
      <c r="J8" s="173">
        <f t="shared" si="15"/>
        <v>0</v>
      </c>
      <c r="K8" s="173">
        <f t="shared" ref="K8:L8" si="16">SUM(W4+W9+W14)/3</f>
        <v>0</v>
      </c>
      <c r="L8" s="173">
        <f t="shared" si="16"/>
        <v>0</v>
      </c>
      <c r="M8" s="173">
        <v>7.0</v>
      </c>
      <c r="N8" s="148">
        <v>2.0</v>
      </c>
      <c r="O8" s="148">
        <v>2.0</v>
      </c>
      <c r="P8" s="179">
        <v>2.566666666666667</v>
      </c>
      <c r="Q8" s="179"/>
      <c r="R8" s="179"/>
      <c r="S8" s="179"/>
      <c r="T8" s="179"/>
      <c r="U8" s="180">
        <v>2.7666666666666666</v>
      </c>
      <c r="V8" s="180"/>
    </row>
    <row r="9">
      <c r="A9" s="148">
        <v>6.0</v>
      </c>
      <c r="B9" s="148">
        <v>4.0</v>
      </c>
      <c r="C9" s="173">
        <f t="shared" si="13"/>
        <v>4.188888889</v>
      </c>
      <c r="D9" s="173">
        <f t="shared" ref="D9:I9" si="17">SUM(U5+U10+U15)/3</f>
        <v>4.244444444</v>
      </c>
      <c r="E9" s="173">
        <f t="shared" si="17"/>
        <v>0</v>
      </c>
      <c r="F9" s="173">
        <f t="shared" si="17"/>
        <v>0</v>
      </c>
      <c r="G9" s="173">
        <f t="shared" si="17"/>
        <v>0</v>
      </c>
      <c r="H9" s="173">
        <f t="shared" si="17"/>
        <v>0</v>
      </c>
      <c r="I9" s="173">
        <f t="shared" si="17"/>
        <v>0</v>
      </c>
      <c r="J9" s="173">
        <f t="shared" si="15"/>
        <v>0</v>
      </c>
      <c r="K9" s="173">
        <f t="shared" ref="K9:L9" si="18">SUM(W5+W10+W15)/3</f>
        <v>0</v>
      </c>
      <c r="L9" s="173">
        <f t="shared" si="18"/>
        <v>0</v>
      </c>
      <c r="M9" s="148">
        <v>8.0</v>
      </c>
      <c r="N9" s="148">
        <v>4.0</v>
      </c>
      <c r="O9" s="148">
        <v>3.0</v>
      </c>
      <c r="P9" s="179">
        <v>3.4333333333333327</v>
      </c>
      <c r="Q9" s="179"/>
      <c r="R9" s="179"/>
      <c r="S9" s="179"/>
      <c r="T9" s="179"/>
      <c r="U9" s="180">
        <v>3.5</v>
      </c>
      <c r="V9" s="179"/>
    </row>
    <row r="10">
      <c r="A10" s="148">
        <v>8.0</v>
      </c>
      <c r="B10" s="148">
        <v>5.0</v>
      </c>
      <c r="C10" s="173">
        <f t="shared" si="13"/>
        <v>4.4</v>
      </c>
      <c r="D10" s="173">
        <f t="shared" ref="D10:I10" si="19">SUM(U6+U11+U16)/3</f>
        <v>4.522222222</v>
      </c>
      <c r="E10" s="173">
        <f t="shared" si="19"/>
        <v>0</v>
      </c>
      <c r="F10" s="173">
        <f t="shared" si="19"/>
        <v>0</v>
      </c>
      <c r="G10" s="173">
        <f t="shared" si="19"/>
        <v>0</v>
      </c>
      <c r="H10" s="173">
        <f t="shared" si="19"/>
        <v>0</v>
      </c>
      <c r="I10" s="173">
        <f t="shared" si="19"/>
        <v>0</v>
      </c>
      <c r="J10" s="173">
        <f t="shared" si="15"/>
        <v>0</v>
      </c>
      <c r="K10" s="173">
        <f t="shared" ref="K10:L10" si="20">SUM(W6+W11+W16)/3</f>
        <v>0</v>
      </c>
      <c r="L10" s="173">
        <f t="shared" si="20"/>
        <v>0</v>
      </c>
      <c r="M10" s="173">
        <v>9.0</v>
      </c>
      <c r="N10" s="148">
        <v>6.0</v>
      </c>
      <c r="O10" s="148">
        <v>4.0</v>
      </c>
      <c r="P10" s="179">
        <v>3.9333333333333327</v>
      </c>
      <c r="Q10" s="179"/>
      <c r="R10" s="179"/>
      <c r="S10" s="179"/>
      <c r="T10" s="179"/>
      <c r="U10" s="180">
        <v>4.1</v>
      </c>
      <c r="V10" s="180"/>
    </row>
    <row r="11">
      <c r="A11" s="181"/>
      <c r="B11" s="181"/>
      <c r="C11" s="173"/>
      <c r="D11" s="181"/>
      <c r="E11" s="181"/>
      <c r="F11" s="181"/>
      <c r="G11" s="181"/>
      <c r="H11" s="181"/>
      <c r="I11" s="181"/>
      <c r="J11" s="181"/>
      <c r="K11" s="181"/>
      <c r="L11" s="181"/>
      <c r="M11" s="173">
        <v>10.0</v>
      </c>
      <c r="N11" s="148">
        <v>8.0</v>
      </c>
      <c r="O11" s="148">
        <v>5.0</v>
      </c>
      <c r="P11" s="179">
        <v>4.5</v>
      </c>
      <c r="Q11" s="179"/>
      <c r="R11" s="179"/>
      <c r="S11" s="179"/>
      <c r="T11" s="179"/>
      <c r="U11" s="180">
        <v>4.633333333333334</v>
      </c>
      <c r="V11" s="179"/>
    </row>
    <row r="12">
      <c r="A12" s="181"/>
      <c r="B12" s="181"/>
      <c r="C12" s="173"/>
      <c r="D12" s="181"/>
      <c r="E12" s="181"/>
      <c r="F12" s="181"/>
      <c r="G12" s="181"/>
      <c r="H12" s="181"/>
      <c r="I12" s="181"/>
      <c r="J12" s="181"/>
      <c r="K12" s="181"/>
      <c r="L12" s="181"/>
      <c r="M12" s="173">
        <v>11.0</v>
      </c>
      <c r="N12" s="148">
        <v>0.0</v>
      </c>
      <c r="O12" s="148">
        <v>1.0</v>
      </c>
      <c r="P12" s="182">
        <v>1.8666666666666667</v>
      </c>
      <c r="Q12" s="182"/>
      <c r="R12" s="182"/>
      <c r="S12" s="182"/>
      <c r="T12" s="182"/>
      <c r="U12" s="183">
        <v>1.8666666666666665</v>
      </c>
      <c r="V12" s="183"/>
    </row>
    <row r="13">
      <c r="A13" s="181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73">
        <v>12.0</v>
      </c>
      <c r="N13" s="148">
        <v>2.0</v>
      </c>
      <c r="O13" s="148">
        <v>2.0</v>
      </c>
      <c r="P13" s="182">
        <v>2.333333333333333</v>
      </c>
      <c r="Q13" s="182"/>
      <c r="R13" s="182"/>
      <c r="S13" s="182"/>
      <c r="T13" s="182"/>
      <c r="U13" s="183">
        <v>2.6666666666666665</v>
      </c>
      <c r="V13" s="183"/>
    </row>
    <row r="14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73">
        <v>13.0</v>
      </c>
      <c r="N14" s="148">
        <v>4.0</v>
      </c>
      <c r="O14" s="148">
        <v>3.0</v>
      </c>
      <c r="P14" s="182">
        <v>3.5</v>
      </c>
      <c r="Q14" s="182"/>
      <c r="R14" s="182"/>
      <c r="S14" s="182"/>
      <c r="T14" s="182"/>
      <c r="U14" s="183">
        <v>3.766666666666667</v>
      </c>
      <c r="V14" s="183"/>
    </row>
    <row r="15">
      <c r="A15" s="181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73">
        <v>14.0</v>
      </c>
      <c r="N15" s="148">
        <v>6.0</v>
      </c>
      <c r="O15" s="148">
        <v>4.0</v>
      </c>
      <c r="P15" s="182">
        <v>3.883333333333333</v>
      </c>
      <c r="Q15" s="182"/>
      <c r="R15" s="182"/>
      <c r="S15" s="182"/>
      <c r="T15" s="182"/>
      <c r="U15" s="183">
        <v>3.866666666666667</v>
      </c>
      <c r="V15" s="183"/>
    </row>
    <row r="16">
      <c r="A16" s="181"/>
      <c r="B16" s="181"/>
      <c r="C16" s="148" t="s">
        <v>200</v>
      </c>
      <c r="D16" s="181"/>
      <c r="E16" s="181"/>
      <c r="F16" s="181"/>
      <c r="G16" s="181"/>
      <c r="H16" s="181"/>
      <c r="I16" s="181"/>
      <c r="J16" s="181"/>
      <c r="K16" s="181"/>
      <c r="L16" s="181"/>
      <c r="M16" s="173">
        <v>15.0</v>
      </c>
      <c r="N16" s="148">
        <v>8.0</v>
      </c>
      <c r="O16" s="148">
        <v>5.0</v>
      </c>
      <c r="P16" s="182">
        <v>4.316666666666666</v>
      </c>
      <c r="Q16" s="182"/>
      <c r="R16" s="182"/>
      <c r="S16" s="182"/>
      <c r="T16" s="182"/>
      <c r="U16" s="183">
        <v>4.299999999999999</v>
      </c>
      <c r="V16" s="183"/>
    </row>
    <row r="17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73">
        <v>16.0</v>
      </c>
      <c r="N17" s="148">
        <v>0.0</v>
      </c>
      <c r="O17" s="148">
        <v>1.0</v>
      </c>
      <c r="P17" s="174">
        <v>1.7166666666666663</v>
      </c>
      <c r="Q17" s="174"/>
      <c r="R17" s="174"/>
      <c r="S17" s="174"/>
      <c r="T17" s="174"/>
      <c r="U17" s="175">
        <v>1.7</v>
      </c>
      <c r="V17" s="175"/>
    </row>
    <row r="18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73">
        <v>17.0</v>
      </c>
      <c r="N18" s="148">
        <v>-2.0</v>
      </c>
      <c r="O18" s="148">
        <v>2.0</v>
      </c>
      <c r="P18" s="174">
        <v>1.6333333333333335</v>
      </c>
      <c r="Q18" s="174"/>
      <c r="R18" s="174"/>
      <c r="S18" s="174"/>
      <c r="T18" s="174"/>
      <c r="U18" s="175">
        <v>1.5666666666666669</v>
      </c>
      <c r="V18" s="175"/>
    </row>
    <row r="19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73">
        <v>18.0</v>
      </c>
      <c r="N19" s="148">
        <v>-4.0</v>
      </c>
      <c r="O19" s="148">
        <v>3.0</v>
      </c>
      <c r="P19" s="174">
        <v>1.9333333333333336</v>
      </c>
      <c r="Q19" s="174"/>
      <c r="R19" s="174"/>
      <c r="S19" s="174"/>
      <c r="T19" s="174"/>
      <c r="U19" s="175">
        <v>2.0666666666666664</v>
      </c>
      <c r="V19" s="175"/>
    </row>
    <row r="20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73">
        <v>19.0</v>
      </c>
      <c r="N20" s="148">
        <v>-6.0</v>
      </c>
      <c r="O20" s="148">
        <v>4.0</v>
      </c>
      <c r="P20" s="174">
        <v>2.1333333333333333</v>
      </c>
      <c r="Q20" s="174"/>
      <c r="R20" s="174"/>
      <c r="S20" s="174"/>
      <c r="T20" s="174"/>
      <c r="U20" s="175">
        <v>1.8</v>
      </c>
      <c r="V20" s="175"/>
    </row>
    <row r="21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73">
        <v>20.0</v>
      </c>
      <c r="N21" s="148">
        <v>-8.0</v>
      </c>
      <c r="O21" s="148">
        <v>5.0</v>
      </c>
      <c r="P21" s="174">
        <v>2.2</v>
      </c>
      <c r="Q21" s="174"/>
      <c r="R21" s="174"/>
      <c r="S21" s="174"/>
      <c r="T21" s="174"/>
      <c r="U21" s="175">
        <v>2.466666666666667</v>
      </c>
      <c r="V21" s="175"/>
    </row>
    <row r="22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73">
        <v>21.0</v>
      </c>
      <c r="N22" s="148">
        <v>0.0</v>
      </c>
      <c r="O22" s="148">
        <v>1.0</v>
      </c>
      <c r="P22" s="179">
        <v>1.6</v>
      </c>
      <c r="Q22" s="179"/>
      <c r="R22" s="179"/>
      <c r="S22" s="179"/>
      <c r="T22" s="179"/>
      <c r="U22" s="180">
        <v>1.6333333333333333</v>
      </c>
      <c r="V22" s="180"/>
    </row>
    <row r="23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73">
        <v>22.0</v>
      </c>
      <c r="N23" s="148">
        <v>-2.0</v>
      </c>
      <c r="O23" s="148">
        <v>2.0</v>
      </c>
      <c r="P23" s="179">
        <v>1.6166666666666667</v>
      </c>
      <c r="Q23" s="179"/>
      <c r="R23" s="179"/>
      <c r="S23" s="179"/>
      <c r="T23" s="179"/>
      <c r="U23" s="180">
        <v>1.5666666666666669</v>
      </c>
      <c r="V23" s="180"/>
    </row>
    <row r="24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73">
        <v>23.0</v>
      </c>
      <c r="N24" s="148">
        <v>-4.0</v>
      </c>
      <c r="O24" s="148">
        <v>3.0</v>
      </c>
      <c r="P24" s="179">
        <v>2.3666666666666663</v>
      </c>
      <c r="Q24" s="179"/>
      <c r="R24" s="179"/>
      <c r="S24" s="179"/>
      <c r="T24" s="179"/>
      <c r="U24" s="180">
        <v>2.5666666666666664</v>
      </c>
      <c r="V24" s="180"/>
    </row>
    <row r="25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73">
        <v>24.0</v>
      </c>
      <c r="N25" s="148">
        <v>-6.0</v>
      </c>
      <c r="O25" s="148">
        <v>4.0</v>
      </c>
      <c r="P25" s="179">
        <v>2.583333333333333</v>
      </c>
      <c r="Q25" s="179"/>
      <c r="R25" s="179"/>
      <c r="S25" s="179"/>
      <c r="T25" s="179"/>
      <c r="U25" s="180">
        <v>3.6333333333333337</v>
      </c>
      <c r="V25" s="180"/>
    </row>
    <row r="26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73">
        <v>25.0</v>
      </c>
      <c r="N26" s="148">
        <v>-8.0</v>
      </c>
      <c r="O26" s="148">
        <v>5.0</v>
      </c>
      <c r="P26" s="179">
        <v>3.2833333333333337</v>
      </c>
      <c r="Q26" s="179"/>
      <c r="R26" s="179"/>
      <c r="S26" s="179"/>
      <c r="T26" s="179"/>
      <c r="U26" s="180">
        <v>3.6333333333333337</v>
      </c>
      <c r="V26" s="180"/>
    </row>
    <row r="27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73">
        <v>26.0</v>
      </c>
      <c r="N27" s="148">
        <v>0.0</v>
      </c>
      <c r="O27" s="148">
        <v>1.0</v>
      </c>
      <c r="P27" s="182">
        <v>1.9166666666666667</v>
      </c>
      <c r="Q27" s="182"/>
      <c r="R27" s="182"/>
      <c r="S27" s="182"/>
      <c r="T27" s="182"/>
      <c r="U27" s="183">
        <v>2.1999999999999997</v>
      </c>
      <c r="V27" s="183"/>
    </row>
    <row r="28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73">
        <v>27.0</v>
      </c>
      <c r="N28" s="148">
        <v>-2.0</v>
      </c>
      <c r="O28" s="148">
        <v>2.0</v>
      </c>
      <c r="P28" s="182">
        <v>2.0333333333333337</v>
      </c>
      <c r="Q28" s="182"/>
      <c r="R28" s="182"/>
      <c r="S28" s="182"/>
      <c r="T28" s="182"/>
      <c r="U28" s="183">
        <v>1.9</v>
      </c>
      <c r="V28" s="183"/>
    </row>
    <row r="29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73">
        <v>28.0</v>
      </c>
      <c r="N29" s="148">
        <v>-4.0</v>
      </c>
      <c r="O29" s="148">
        <v>3.0</v>
      </c>
      <c r="P29" s="182">
        <v>2.7666666666666666</v>
      </c>
      <c r="Q29" s="182"/>
      <c r="R29" s="182"/>
      <c r="S29" s="182"/>
      <c r="T29" s="182"/>
      <c r="U29" s="183">
        <v>2.8333333333333335</v>
      </c>
      <c r="V29" s="183"/>
    </row>
    <row r="30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73">
        <v>29.0</v>
      </c>
      <c r="N30" s="148">
        <v>-6.0</v>
      </c>
      <c r="O30" s="148">
        <v>4.0</v>
      </c>
      <c r="P30" s="182">
        <v>3.233333333333333</v>
      </c>
      <c r="Q30" s="182"/>
      <c r="R30" s="182"/>
      <c r="S30" s="182"/>
      <c r="T30" s="182"/>
      <c r="U30" s="183">
        <v>3.2333333333333334</v>
      </c>
      <c r="V30" s="183"/>
    </row>
    <row r="3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73">
        <v>30.0</v>
      </c>
      <c r="N31" s="148">
        <v>-8.0</v>
      </c>
      <c r="O31" s="148">
        <v>5.0</v>
      </c>
      <c r="P31" s="182">
        <v>3.7666666666666666</v>
      </c>
      <c r="Q31" s="182"/>
      <c r="R31" s="182"/>
      <c r="S31" s="182"/>
      <c r="T31" s="182"/>
      <c r="U31" s="183">
        <v>3.8</v>
      </c>
      <c r="V31" s="183"/>
    </row>
    <row r="32">
      <c r="M32" s="184"/>
      <c r="N32" s="184"/>
      <c r="O32" s="184"/>
      <c r="V32" s="175"/>
    </row>
    <row r="33">
      <c r="M33" s="184"/>
      <c r="N33" s="184"/>
      <c r="O33" s="184"/>
      <c r="V33" s="175"/>
    </row>
    <row r="34">
      <c r="M34" s="184"/>
      <c r="N34" s="184"/>
      <c r="O34" s="184"/>
      <c r="P34" s="184"/>
      <c r="Q34" s="184"/>
      <c r="R34" s="184"/>
      <c r="S34" s="184"/>
      <c r="T34" s="184"/>
      <c r="V34" s="175"/>
    </row>
    <row r="35">
      <c r="V35" s="175"/>
    </row>
    <row r="36">
      <c r="V36" s="175"/>
    </row>
    <row r="37">
      <c r="V37" s="175"/>
    </row>
    <row r="38">
      <c r="V38" s="175"/>
    </row>
    <row r="39">
      <c r="V39" s="175"/>
    </row>
    <row r="40">
      <c r="V40" s="175"/>
    </row>
    <row r="41">
      <c r="V41" s="175"/>
    </row>
    <row r="42">
      <c r="V42" s="175"/>
    </row>
    <row r="43">
      <c r="V43" s="175"/>
    </row>
    <row r="44">
      <c r="V44" s="175"/>
    </row>
    <row r="45">
      <c r="V45" s="175"/>
    </row>
    <row r="46">
      <c r="V46" s="175"/>
    </row>
    <row r="47">
      <c r="V47" s="175"/>
    </row>
    <row r="48">
      <c r="V48" s="175"/>
    </row>
    <row r="49">
      <c r="V49" s="175"/>
    </row>
    <row r="50">
      <c r="V50" s="175"/>
    </row>
    <row r="51">
      <c r="V51" s="175"/>
    </row>
    <row r="52">
      <c r="V52" s="175"/>
    </row>
    <row r="53">
      <c r="V53" s="175"/>
    </row>
    <row r="54">
      <c r="V54" s="175"/>
    </row>
    <row r="55">
      <c r="V55" s="175"/>
    </row>
    <row r="56">
      <c r="V56" s="175"/>
    </row>
    <row r="57">
      <c r="V57" s="175"/>
    </row>
    <row r="58">
      <c r="V58" s="175"/>
    </row>
    <row r="59">
      <c r="V59" s="175"/>
    </row>
    <row r="60">
      <c r="V60" s="175"/>
    </row>
    <row r="61">
      <c r="V61" s="175"/>
    </row>
    <row r="62">
      <c r="V62" s="175"/>
    </row>
    <row r="63">
      <c r="V63" s="175"/>
    </row>
    <row r="64">
      <c r="V64" s="175"/>
    </row>
    <row r="65">
      <c r="V65" s="175"/>
    </row>
    <row r="66">
      <c r="V66" s="175"/>
    </row>
    <row r="67">
      <c r="V67" s="175"/>
    </row>
    <row r="68">
      <c r="V68" s="175"/>
    </row>
    <row r="69">
      <c r="V69" s="175"/>
    </row>
    <row r="70">
      <c r="V70" s="175"/>
    </row>
    <row r="71">
      <c r="V71" s="175"/>
    </row>
    <row r="72">
      <c r="V72" s="175"/>
    </row>
    <row r="73">
      <c r="V73" s="175"/>
    </row>
    <row r="74">
      <c r="V74" s="175"/>
    </row>
    <row r="75">
      <c r="V75" s="175"/>
    </row>
    <row r="76">
      <c r="V76" s="175"/>
    </row>
    <row r="77">
      <c r="V77" s="175"/>
    </row>
    <row r="78">
      <c r="V78" s="175"/>
    </row>
    <row r="79">
      <c r="V79" s="175"/>
    </row>
    <row r="80">
      <c r="V80" s="175"/>
    </row>
    <row r="81">
      <c r="V81" s="175"/>
    </row>
    <row r="82">
      <c r="V82" s="175"/>
    </row>
    <row r="83">
      <c r="V83" s="175"/>
    </row>
    <row r="84">
      <c r="V84" s="175"/>
    </row>
    <row r="85">
      <c r="V85" s="175"/>
    </row>
    <row r="86">
      <c r="V86" s="175"/>
    </row>
    <row r="87">
      <c r="V87" s="175"/>
    </row>
    <row r="88">
      <c r="V88" s="175"/>
    </row>
    <row r="89">
      <c r="V89" s="175"/>
    </row>
    <row r="90">
      <c r="V90" s="175"/>
    </row>
    <row r="91">
      <c r="V91" s="175"/>
    </row>
    <row r="92">
      <c r="V92" s="175"/>
    </row>
    <row r="93">
      <c r="V93" s="175"/>
    </row>
    <row r="94">
      <c r="V94" s="175"/>
    </row>
    <row r="95">
      <c r="V95" s="175"/>
    </row>
    <row r="96">
      <c r="V96" s="175"/>
    </row>
    <row r="97">
      <c r="V97" s="175"/>
    </row>
    <row r="98">
      <c r="V98" s="175"/>
    </row>
    <row r="99">
      <c r="V99" s="175"/>
    </row>
    <row r="100">
      <c r="V100" s="175"/>
    </row>
    <row r="101">
      <c r="V101" s="175"/>
    </row>
    <row r="102">
      <c r="V102" s="175"/>
    </row>
    <row r="103">
      <c r="V103" s="175"/>
    </row>
    <row r="104">
      <c r="V104" s="175"/>
    </row>
    <row r="105">
      <c r="V105" s="175"/>
    </row>
    <row r="106">
      <c r="V106" s="175"/>
    </row>
    <row r="107">
      <c r="V107" s="175"/>
    </row>
    <row r="108">
      <c r="V108" s="175"/>
    </row>
    <row r="109">
      <c r="V109" s="175"/>
    </row>
    <row r="110">
      <c r="V110" s="175"/>
    </row>
    <row r="111">
      <c r="V111" s="175"/>
    </row>
    <row r="112">
      <c r="V112" s="175"/>
    </row>
    <row r="113">
      <c r="V113" s="175"/>
    </row>
    <row r="114">
      <c r="V114" s="175"/>
    </row>
    <row r="115">
      <c r="V115" s="175"/>
    </row>
    <row r="116">
      <c r="V116" s="175"/>
    </row>
    <row r="117">
      <c r="V117" s="175"/>
    </row>
    <row r="118">
      <c r="V118" s="175"/>
    </row>
    <row r="119">
      <c r="V119" s="175"/>
    </row>
    <row r="120">
      <c r="V120" s="175"/>
    </row>
    <row r="121">
      <c r="V121" s="175"/>
    </row>
    <row r="122">
      <c r="V122" s="175"/>
    </row>
    <row r="123">
      <c r="V123" s="175"/>
    </row>
    <row r="124">
      <c r="V124" s="175"/>
    </row>
    <row r="125">
      <c r="V125" s="175"/>
    </row>
    <row r="126">
      <c r="V126" s="175"/>
    </row>
    <row r="127">
      <c r="V127" s="175"/>
    </row>
    <row r="128">
      <c r="V128" s="175"/>
    </row>
    <row r="129">
      <c r="V129" s="175"/>
    </row>
    <row r="130">
      <c r="V130" s="175"/>
    </row>
    <row r="131">
      <c r="V131" s="175"/>
    </row>
    <row r="132">
      <c r="V132" s="175"/>
    </row>
    <row r="133">
      <c r="V133" s="175"/>
    </row>
    <row r="134">
      <c r="V134" s="175"/>
    </row>
    <row r="135">
      <c r="V135" s="175"/>
    </row>
    <row r="136">
      <c r="V136" s="175"/>
    </row>
    <row r="137">
      <c r="V137" s="175"/>
    </row>
    <row r="138">
      <c r="V138" s="175"/>
    </row>
    <row r="139">
      <c r="V139" s="175"/>
    </row>
    <row r="140">
      <c r="V140" s="175"/>
    </row>
    <row r="141">
      <c r="V141" s="175"/>
    </row>
    <row r="142">
      <c r="V142" s="175"/>
    </row>
    <row r="143">
      <c r="V143" s="175"/>
    </row>
    <row r="144">
      <c r="V144" s="175"/>
    </row>
    <row r="145">
      <c r="V145" s="175"/>
    </row>
    <row r="146">
      <c r="V146" s="175"/>
    </row>
    <row r="147">
      <c r="V147" s="175"/>
    </row>
    <row r="148">
      <c r="V148" s="175"/>
    </row>
    <row r="149">
      <c r="V149" s="175"/>
    </row>
    <row r="150">
      <c r="V150" s="175"/>
    </row>
    <row r="151">
      <c r="V151" s="175"/>
    </row>
    <row r="152">
      <c r="V152" s="175"/>
    </row>
    <row r="153">
      <c r="V153" s="175"/>
    </row>
    <row r="154">
      <c r="V154" s="175"/>
    </row>
    <row r="155">
      <c r="V155" s="175"/>
    </row>
    <row r="156">
      <c r="V156" s="175"/>
    </row>
    <row r="157">
      <c r="V157" s="175"/>
    </row>
    <row r="158">
      <c r="V158" s="175"/>
    </row>
    <row r="159">
      <c r="V159" s="175"/>
    </row>
    <row r="160">
      <c r="V160" s="175"/>
    </row>
    <row r="161">
      <c r="V161" s="175"/>
    </row>
    <row r="162">
      <c r="V162" s="175"/>
    </row>
    <row r="163">
      <c r="V163" s="175"/>
    </row>
    <row r="164">
      <c r="V164" s="175"/>
    </row>
    <row r="165">
      <c r="V165" s="175"/>
    </row>
    <row r="166">
      <c r="V166" s="175"/>
    </row>
    <row r="167">
      <c r="V167" s="175"/>
    </row>
    <row r="168">
      <c r="V168" s="175"/>
    </row>
    <row r="169">
      <c r="V169" s="175"/>
    </row>
    <row r="170">
      <c r="V170" s="175"/>
    </row>
    <row r="171">
      <c r="V171" s="175"/>
    </row>
    <row r="172">
      <c r="V172" s="175"/>
    </row>
    <row r="173">
      <c r="V173" s="175"/>
    </row>
    <row r="174">
      <c r="V174" s="175"/>
    </row>
    <row r="175">
      <c r="V175" s="175"/>
    </row>
    <row r="176">
      <c r="V176" s="175"/>
    </row>
    <row r="177">
      <c r="V177" s="175"/>
    </row>
    <row r="178">
      <c r="V178" s="175"/>
    </row>
    <row r="179">
      <c r="V179" s="175"/>
    </row>
    <row r="180">
      <c r="V180" s="175"/>
    </row>
    <row r="181">
      <c r="V181" s="175"/>
    </row>
    <row r="182">
      <c r="V182" s="175"/>
    </row>
    <row r="183">
      <c r="V183" s="175"/>
    </row>
    <row r="184">
      <c r="V184" s="175"/>
    </row>
    <row r="185">
      <c r="V185" s="175"/>
    </row>
    <row r="186">
      <c r="V186" s="175"/>
    </row>
    <row r="187">
      <c r="V187" s="175"/>
    </row>
    <row r="188">
      <c r="V188" s="175"/>
    </row>
    <row r="189">
      <c r="V189" s="175"/>
    </row>
    <row r="190">
      <c r="V190" s="175"/>
    </row>
    <row r="191">
      <c r="V191" s="175"/>
    </row>
    <row r="192">
      <c r="V192" s="175"/>
    </row>
    <row r="193">
      <c r="V193" s="175"/>
    </row>
    <row r="194">
      <c r="V194" s="175"/>
    </row>
    <row r="195">
      <c r="V195" s="175"/>
    </row>
    <row r="196">
      <c r="V196" s="175"/>
    </row>
    <row r="197">
      <c r="V197" s="175"/>
    </row>
    <row r="198">
      <c r="V198" s="175"/>
    </row>
    <row r="199">
      <c r="V199" s="175"/>
    </row>
    <row r="200">
      <c r="V200" s="175"/>
    </row>
    <row r="201">
      <c r="V201" s="175"/>
    </row>
    <row r="202">
      <c r="V202" s="175"/>
    </row>
    <row r="203">
      <c r="V203" s="175"/>
    </row>
    <row r="204">
      <c r="V204" s="175"/>
    </row>
    <row r="205">
      <c r="V205" s="175"/>
    </row>
    <row r="206">
      <c r="V206" s="175"/>
    </row>
    <row r="207">
      <c r="V207" s="175"/>
    </row>
    <row r="208">
      <c r="V208" s="175"/>
    </row>
    <row r="209">
      <c r="V209" s="175"/>
    </row>
    <row r="210">
      <c r="V210" s="175"/>
    </row>
    <row r="211">
      <c r="V211" s="175"/>
    </row>
    <row r="212">
      <c r="V212" s="175"/>
    </row>
    <row r="213">
      <c r="V213" s="175"/>
    </row>
    <row r="214">
      <c r="V214" s="175"/>
    </row>
    <row r="215">
      <c r="V215" s="175"/>
    </row>
    <row r="216">
      <c r="V216" s="175"/>
    </row>
    <row r="217">
      <c r="V217" s="175"/>
    </row>
    <row r="218">
      <c r="V218" s="175"/>
    </row>
    <row r="219">
      <c r="V219" s="175"/>
    </row>
    <row r="220">
      <c r="V220" s="175"/>
    </row>
    <row r="221">
      <c r="V221" s="175"/>
    </row>
    <row r="222">
      <c r="V222" s="175"/>
    </row>
    <row r="223">
      <c r="V223" s="175"/>
    </row>
    <row r="224">
      <c r="V224" s="175"/>
    </row>
    <row r="225">
      <c r="V225" s="175"/>
    </row>
    <row r="226">
      <c r="V226" s="175"/>
    </row>
    <row r="227">
      <c r="V227" s="175"/>
    </row>
    <row r="228">
      <c r="V228" s="175"/>
    </row>
    <row r="229">
      <c r="V229" s="175"/>
    </row>
    <row r="230">
      <c r="V230" s="175"/>
    </row>
    <row r="231">
      <c r="V231" s="175"/>
    </row>
    <row r="232">
      <c r="V232" s="175"/>
    </row>
    <row r="233">
      <c r="V233" s="175"/>
    </row>
    <row r="234">
      <c r="V234" s="175"/>
    </row>
    <row r="235">
      <c r="V235" s="175"/>
    </row>
    <row r="236">
      <c r="V236" s="175"/>
    </row>
    <row r="237">
      <c r="V237" s="175"/>
    </row>
    <row r="238">
      <c r="V238" s="175"/>
    </row>
    <row r="239">
      <c r="V239" s="175"/>
    </row>
    <row r="240">
      <c r="V240" s="175"/>
    </row>
    <row r="241">
      <c r="V241" s="175"/>
    </row>
    <row r="242">
      <c r="V242" s="175"/>
    </row>
    <row r="243">
      <c r="V243" s="175"/>
    </row>
    <row r="244">
      <c r="V244" s="175"/>
    </row>
    <row r="245">
      <c r="V245" s="175"/>
    </row>
    <row r="246">
      <c r="V246" s="175"/>
    </row>
    <row r="247">
      <c r="V247" s="175"/>
    </row>
    <row r="248">
      <c r="V248" s="175"/>
    </row>
    <row r="249">
      <c r="V249" s="175"/>
    </row>
    <row r="250">
      <c r="V250" s="175"/>
    </row>
    <row r="251">
      <c r="V251" s="175"/>
    </row>
    <row r="252">
      <c r="V252" s="175"/>
    </row>
    <row r="253">
      <c r="V253" s="175"/>
    </row>
    <row r="254">
      <c r="V254" s="175"/>
    </row>
    <row r="255">
      <c r="V255" s="175"/>
    </row>
    <row r="256">
      <c r="V256" s="175"/>
    </row>
    <row r="257">
      <c r="V257" s="175"/>
    </row>
    <row r="258">
      <c r="V258" s="175"/>
    </row>
    <row r="259">
      <c r="V259" s="175"/>
    </row>
    <row r="260">
      <c r="V260" s="175"/>
    </row>
    <row r="261">
      <c r="V261" s="175"/>
    </row>
    <row r="262">
      <c r="V262" s="175"/>
    </row>
    <row r="263">
      <c r="V263" s="175"/>
    </row>
    <row r="264">
      <c r="V264" s="175"/>
    </row>
    <row r="265">
      <c r="V265" s="175"/>
    </row>
    <row r="266">
      <c r="V266" s="175"/>
    </row>
    <row r="267">
      <c r="V267" s="175"/>
    </row>
    <row r="268">
      <c r="V268" s="175"/>
    </row>
    <row r="269">
      <c r="V269" s="175"/>
    </row>
    <row r="270">
      <c r="V270" s="175"/>
    </row>
    <row r="271">
      <c r="V271" s="175"/>
    </row>
    <row r="272">
      <c r="V272" s="175"/>
    </row>
    <row r="273">
      <c r="V273" s="175"/>
    </row>
    <row r="274">
      <c r="V274" s="175"/>
    </row>
    <row r="275">
      <c r="V275" s="175"/>
    </row>
    <row r="276">
      <c r="V276" s="175"/>
    </row>
    <row r="277">
      <c r="V277" s="175"/>
    </row>
    <row r="278">
      <c r="V278" s="175"/>
    </row>
    <row r="279">
      <c r="V279" s="175"/>
    </row>
    <row r="280">
      <c r="V280" s="175"/>
    </row>
    <row r="281">
      <c r="V281" s="175"/>
    </row>
    <row r="282">
      <c r="V282" s="175"/>
    </row>
    <row r="283">
      <c r="V283" s="175"/>
    </row>
    <row r="284">
      <c r="V284" s="175"/>
    </row>
    <row r="285">
      <c r="V285" s="175"/>
    </row>
    <row r="286">
      <c r="V286" s="175"/>
    </row>
    <row r="287">
      <c r="V287" s="175"/>
    </row>
    <row r="288">
      <c r="V288" s="175"/>
    </row>
    <row r="289">
      <c r="V289" s="175"/>
    </row>
    <row r="290">
      <c r="V290" s="175"/>
    </row>
    <row r="291">
      <c r="V291" s="175"/>
    </row>
    <row r="292">
      <c r="V292" s="175"/>
    </row>
    <row r="293">
      <c r="V293" s="175"/>
    </row>
    <row r="294">
      <c r="V294" s="175"/>
    </row>
    <row r="295">
      <c r="V295" s="175"/>
    </row>
    <row r="296">
      <c r="V296" s="175"/>
    </row>
    <row r="297">
      <c r="V297" s="175"/>
    </row>
    <row r="298">
      <c r="V298" s="175"/>
    </row>
    <row r="299">
      <c r="V299" s="175"/>
    </row>
    <row r="300">
      <c r="V300" s="175"/>
    </row>
    <row r="301">
      <c r="V301" s="175"/>
    </row>
    <row r="302">
      <c r="V302" s="175"/>
    </row>
    <row r="303">
      <c r="V303" s="175"/>
    </row>
    <row r="304">
      <c r="V304" s="175"/>
    </row>
    <row r="305">
      <c r="V305" s="175"/>
    </row>
    <row r="306">
      <c r="V306" s="175"/>
    </row>
    <row r="307">
      <c r="V307" s="175"/>
    </row>
    <row r="308">
      <c r="V308" s="175"/>
    </row>
    <row r="309">
      <c r="V309" s="175"/>
    </row>
    <row r="310">
      <c r="V310" s="175"/>
    </row>
    <row r="311">
      <c r="V311" s="175"/>
    </row>
    <row r="312">
      <c r="V312" s="175"/>
    </row>
    <row r="313">
      <c r="V313" s="175"/>
    </row>
    <row r="314">
      <c r="V314" s="175"/>
    </row>
    <row r="315">
      <c r="V315" s="175"/>
    </row>
    <row r="316">
      <c r="V316" s="175"/>
    </row>
    <row r="317">
      <c r="V317" s="175"/>
    </row>
    <row r="318">
      <c r="V318" s="175"/>
    </row>
    <row r="319">
      <c r="V319" s="175"/>
    </row>
    <row r="320">
      <c r="V320" s="175"/>
    </row>
    <row r="321">
      <c r="V321" s="175"/>
    </row>
    <row r="322">
      <c r="V322" s="175"/>
    </row>
    <row r="323">
      <c r="V323" s="175"/>
    </row>
    <row r="324">
      <c r="V324" s="175"/>
    </row>
    <row r="325">
      <c r="V325" s="175"/>
    </row>
    <row r="326">
      <c r="V326" s="175"/>
    </row>
    <row r="327">
      <c r="V327" s="175"/>
    </row>
    <row r="328">
      <c r="V328" s="175"/>
    </row>
    <row r="329">
      <c r="V329" s="175"/>
    </row>
    <row r="330">
      <c r="V330" s="175"/>
    </row>
    <row r="331">
      <c r="V331" s="175"/>
    </row>
    <row r="332">
      <c r="V332" s="175"/>
    </row>
    <row r="333">
      <c r="V333" s="175"/>
    </row>
    <row r="334">
      <c r="V334" s="175"/>
    </row>
    <row r="335">
      <c r="V335" s="175"/>
    </row>
    <row r="336">
      <c r="V336" s="175"/>
    </row>
    <row r="337">
      <c r="V337" s="175"/>
    </row>
    <row r="338">
      <c r="V338" s="175"/>
    </row>
    <row r="339">
      <c r="V339" s="175"/>
    </row>
    <row r="340">
      <c r="V340" s="175"/>
    </row>
    <row r="341">
      <c r="V341" s="175"/>
    </row>
    <row r="342">
      <c r="V342" s="175"/>
    </row>
    <row r="343">
      <c r="V343" s="175"/>
    </row>
    <row r="344">
      <c r="V344" s="175"/>
    </row>
    <row r="345">
      <c r="V345" s="175"/>
    </row>
    <row r="346">
      <c r="V346" s="175"/>
    </row>
    <row r="347">
      <c r="V347" s="175"/>
    </row>
    <row r="348">
      <c r="V348" s="175"/>
    </row>
    <row r="349">
      <c r="V349" s="175"/>
    </row>
    <row r="350">
      <c r="V350" s="175"/>
    </row>
    <row r="351">
      <c r="V351" s="175"/>
    </row>
    <row r="352">
      <c r="V352" s="175"/>
    </row>
    <row r="353">
      <c r="V353" s="175"/>
    </row>
    <row r="354">
      <c r="V354" s="175"/>
    </row>
    <row r="355">
      <c r="V355" s="175"/>
    </row>
    <row r="356">
      <c r="V356" s="175"/>
    </row>
    <row r="357">
      <c r="V357" s="175"/>
    </row>
    <row r="358">
      <c r="V358" s="175"/>
    </row>
    <row r="359">
      <c r="V359" s="175"/>
    </row>
    <row r="360">
      <c r="V360" s="175"/>
    </row>
    <row r="361">
      <c r="V361" s="175"/>
    </row>
    <row r="362">
      <c r="V362" s="175"/>
    </row>
    <row r="363">
      <c r="V363" s="175"/>
    </row>
    <row r="364">
      <c r="V364" s="175"/>
    </row>
    <row r="365">
      <c r="V365" s="175"/>
    </row>
    <row r="366">
      <c r="V366" s="175"/>
    </row>
    <row r="367">
      <c r="V367" s="175"/>
    </row>
    <row r="368">
      <c r="V368" s="175"/>
    </row>
    <row r="369">
      <c r="V369" s="175"/>
    </row>
    <row r="370">
      <c r="V370" s="175"/>
    </row>
    <row r="371">
      <c r="V371" s="175"/>
    </row>
    <row r="372">
      <c r="V372" s="175"/>
    </row>
    <row r="373">
      <c r="V373" s="175"/>
    </row>
    <row r="374">
      <c r="V374" s="175"/>
    </row>
    <row r="375">
      <c r="V375" s="175"/>
    </row>
    <row r="376">
      <c r="V376" s="175"/>
    </row>
    <row r="377">
      <c r="V377" s="175"/>
    </row>
    <row r="378">
      <c r="V378" s="175"/>
    </row>
    <row r="379">
      <c r="V379" s="175"/>
    </row>
    <row r="380">
      <c r="V380" s="175"/>
    </row>
    <row r="381">
      <c r="V381" s="175"/>
    </row>
    <row r="382">
      <c r="V382" s="175"/>
    </row>
    <row r="383">
      <c r="V383" s="175"/>
    </row>
    <row r="384">
      <c r="V384" s="175"/>
    </row>
    <row r="385">
      <c r="V385" s="175"/>
    </row>
    <row r="386">
      <c r="V386" s="175"/>
    </row>
    <row r="387">
      <c r="V387" s="175"/>
    </row>
    <row r="388">
      <c r="V388" s="175"/>
    </row>
    <row r="389">
      <c r="V389" s="175"/>
    </row>
    <row r="390">
      <c r="V390" s="175"/>
    </row>
    <row r="391">
      <c r="V391" s="175"/>
    </row>
    <row r="392">
      <c r="V392" s="175"/>
    </row>
    <row r="393">
      <c r="V393" s="175"/>
    </row>
    <row r="394">
      <c r="V394" s="175"/>
    </row>
    <row r="395">
      <c r="V395" s="175"/>
    </row>
    <row r="396">
      <c r="V396" s="175"/>
    </row>
    <row r="397">
      <c r="V397" s="175"/>
    </row>
    <row r="398">
      <c r="V398" s="175"/>
    </row>
    <row r="399">
      <c r="V399" s="175"/>
    </row>
    <row r="400">
      <c r="V400" s="175"/>
    </row>
    <row r="401">
      <c r="V401" s="175"/>
    </row>
    <row r="402">
      <c r="V402" s="175"/>
    </row>
    <row r="403">
      <c r="V403" s="175"/>
    </row>
    <row r="404">
      <c r="V404" s="175"/>
    </row>
    <row r="405">
      <c r="V405" s="175"/>
    </row>
    <row r="406">
      <c r="V406" s="175"/>
    </row>
    <row r="407">
      <c r="V407" s="175"/>
    </row>
    <row r="408">
      <c r="V408" s="175"/>
    </row>
    <row r="409">
      <c r="V409" s="175"/>
    </row>
    <row r="410">
      <c r="V410" s="175"/>
    </row>
    <row r="411">
      <c r="V411" s="175"/>
    </row>
    <row r="412">
      <c r="V412" s="175"/>
    </row>
    <row r="413">
      <c r="V413" s="175"/>
    </row>
    <row r="414">
      <c r="V414" s="175"/>
    </row>
    <row r="415">
      <c r="V415" s="175"/>
    </row>
    <row r="416">
      <c r="V416" s="175"/>
    </row>
    <row r="417">
      <c r="V417" s="175"/>
    </row>
    <row r="418">
      <c r="V418" s="175"/>
    </row>
    <row r="419">
      <c r="V419" s="175"/>
    </row>
    <row r="420">
      <c r="V420" s="175"/>
    </row>
    <row r="421">
      <c r="V421" s="175"/>
    </row>
    <row r="422">
      <c r="V422" s="175"/>
    </row>
    <row r="423">
      <c r="V423" s="175"/>
    </row>
    <row r="424">
      <c r="V424" s="175"/>
    </row>
    <row r="425">
      <c r="V425" s="175"/>
    </row>
    <row r="426">
      <c r="V426" s="175"/>
    </row>
    <row r="427">
      <c r="V427" s="175"/>
    </row>
    <row r="428">
      <c r="V428" s="175"/>
    </row>
    <row r="429">
      <c r="V429" s="175"/>
    </row>
    <row r="430">
      <c r="V430" s="175"/>
    </row>
    <row r="431">
      <c r="V431" s="175"/>
    </row>
    <row r="432">
      <c r="V432" s="175"/>
    </row>
    <row r="433">
      <c r="V433" s="175"/>
    </row>
    <row r="434">
      <c r="V434" s="175"/>
    </row>
    <row r="435">
      <c r="V435" s="175"/>
    </row>
    <row r="436">
      <c r="V436" s="175"/>
    </row>
    <row r="437">
      <c r="V437" s="175"/>
    </row>
    <row r="438">
      <c r="V438" s="175"/>
    </row>
    <row r="439">
      <c r="V439" s="175"/>
    </row>
    <row r="440">
      <c r="V440" s="175"/>
    </row>
    <row r="441">
      <c r="V441" s="175"/>
    </row>
    <row r="442">
      <c r="V442" s="175"/>
    </row>
    <row r="443">
      <c r="V443" s="175"/>
    </row>
    <row r="444">
      <c r="V444" s="175"/>
    </row>
    <row r="445">
      <c r="V445" s="175"/>
    </row>
    <row r="446">
      <c r="V446" s="175"/>
    </row>
    <row r="447">
      <c r="V447" s="175"/>
    </row>
    <row r="448">
      <c r="V448" s="175"/>
    </row>
    <row r="449">
      <c r="V449" s="175"/>
    </row>
    <row r="450">
      <c r="V450" s="175"/>
    </row>
    <row r="451">
      <c r="V451" s="175"/>
    </row>
    <row r="452">
      <c r="V452" s="175"/>
    </row>
    <row r="453">
      <c r="V453" s="175"/>
    </row>
    <row r="454">
      <c r="V454" s="175"/>
    </row>
    <row r="455">
      <c r="V455" s="175"/>
    </row>
    <row r="456">
      <c r="V456" s="175"/>
    </row>
    <row r="457">
      <c r="V457" s="175"/>
    </row>
    <row r="458">
      <c r="V458" s="175"/>
    </row>
    <row r="459">
      <c r="V459" s="175"/>
    </row>
    <row r="460">
      <c r="V460" s="175"/>
    </row>
    <row r="461">
      <c r="V461" s="175"/>
    </row>
    <row r="462">
      <c r="V462" s="175"/>
    </row>
    <row r="463">
      <c r="V463" s="175"/>
    </row>
    <row r="464">
      <c r="V464" s="175"/>
    </row>
    <row r="465">
      <c r="V465" s="175"/>
    </row>
    <row r="466">
      <c r="V466" s="175"/>
    </row>
    <row r="467">
      <c r="V467" s="175"/>
    </row>
    <row r="468">
      <c r="V468" s="175"/>
    </row>
    <row r="469">
      <c r="V469" s="175"/>
    </row>
    <row r="470">
      <c r="V470" s="175"/>
    </row>
    <row r="471">
      <c r="V471" s="175"/>
    </row>
    <row r="472">
      <c r="V472" s="175"/>
    </row>
    <row r="473">
      <c r="V473" s="175"/>
    </row>
    <row r="474">
      <c r="V474" s="175"/>
    </row>
    <row r="475">
      <c r="V475" s="175"/>
    </row>
    <row r="476">
      <c r="V476" s="175"/>
    </row>
    <row r="477">
      <c r="V477" s="175"/>
    </row>
    <row r="478">
      <c r="V478" s="175"/>
    </row>
    <row r="479">
      <c r="V479" s="175"/>
    </row>
    <row r="480">
      <c r="V480" s="175"/>
    </row>
    <row r="481">
      <c r="V481" s="175"/>
    </row>
    <row r="482">
      <c r="V482" s="175"/>
    </row>
    <row r="483">
      <c r="V483" s="175"/>
    </row>
    <row r="484">
      <c r="V484" s="175"/>
    </row>
    <row r="485">
      <c r="V485" s="175"/>
    </row>
    <row r="486">
      <c r="V486" s="175"/>
    </row>
    <row r="487">
      <c r="V487" s="175"/>
    </row>
    <row r="488">
      <c r="V488" s="175"/>
    </row>
    <row r="489">
      <c r="V489" s="175"/>
    </row>
    <row r="490">
      <c r="V490" s="175"/>
    </row>
    <row r="491">
      <c r="V491" s="175"/>
    </row>
    <row r="492">
      <c r="V492" s="175"/>
    </row>
    <row r="493">
      <c r="V493" s="175"/>
    </row>
    <row r="494">
      <c r="V494" s="175"/>
    </row>
    <row r="495">
      <c r="V495" s="175"/>
    </row>
    <row r="496">
      <c r="V496" s="175"/>
    </row>
    <row r="497">
      <c r="V497" s="175"/>
    </row>
    <row r="498">
      <c r="V498" s="175"/>
    </row>
    <row r="499">
      <c r="V499" s="175"/>
    </row>
    <row r="500">
      <c r="V500" s="175"/>
    </row>
    <row r="501">
      <c r="V501" s="175"/>
    </row>
    <row r="502">
      <c r="V502" s="175"/>
    </row>
    <row r="503">
      <c r="V503" s="175"/>
    </row>
    <row r="504">
      <c r="V504" s="175"/>
    </row>
    <row r="505">
      <c r="V505" s="175"/>
    </row>
    <row r="506">
      <c r="V506" s="175"/>
    </row>
    <row r="507">
      <c r="V507" s="175"/>
    </row>
    <row r="508">
      <c r="V508" s="175"/>
    </row>
    <row r="509">
      <c r="V509" s="175"/>
    </row>
    <row r="510">
      <c r="V510" s="175"/>
    </row>
    <row r="511">
      <c r="V511" s="175"/>
    </row>
    <row r="512">
      <c r="V512" s="175"/>
    </row>
    <row r="513">
      <c r="V513" s="175"/>
    </row>
    <row r="514">
      <c r="V514" s="175"/>
    </row>
    <row r="515">
      <c r="V515" s="175"/>
    </row>
    <row r="516">
      <c r="V516" s="175"/>
    </row>
    <row r="517">
      <c r="V517" s="175"/>
    </row>
    <row r="518">
      <c r="V518" s="175"/>
    </row>
    <row r="519">
      <c r="V519" s="175"/>
    </row>
    <row r="520">
      <c r="V520" s="175"/>
    </row>
    <row r="521">
      <c r="V521" s="175"/>
    </row>
    <row r="522">
      <c r="V522" s="175"/>
    </row>
    <row r="523">
      <c r="V523" s="175"/>
    </row>
    <row r="524">
      <c r="V524" s="175"/>
    </row>
    <row r="525">
      <c r="V525" s="175"/>
    </row>
    <row r="526">
      <c r="V526" s="175"/>
    </row>
    <row r="527">
      <c r="V527" s="175"/>
    </row>
    <row r="528">
      <c r="V528" s="175"/>
    </row>
    <row r="529">
      <c r="V529" s="175"/>
    </row>
    <row r="530">
      <c r="V530" s="175"/>
    </row>
    <row r="531">
      <c r="V531" s="175"/>
    </row>
    <row r="532">
      <c r="V532" s="175"/>
    </row>
    <row r="533">
      <c r="V533" s="175"/>
    </row>
    <row r="534">
      <c r="V534" s="175"/>
    </row>
    <row r="535">
      <c r="V535" s="175"/>
    </row>
    <row r="536">
      <c r="V536" s="175"/>
    </row>
    <row r="537">
      <c r="V537" s="175"/>
    </row>
    <row r="538">
      <c r="V538" s="175"/>
    </row>
    <row r="539">
      <c r="V539" s="175"/>
    </row>
    <row r="540">
      <c r="V540" s="175"/>
    </row>
    <row r="541">
      <c r="V541" s="175"/>
    </row>
    <row r="542">
      <c r="V542" s="175"/>
    </row>
    <row r="543">
      <c r="V543" s="175"/>
    </row>
    <row r="544">
      <c r="V544" s="175"/>
    </row>
    <row r="545">
      <c r="V545" s="175"/>
    </row>
    <row r="546">
      <c r="V546" s="175"/>
    </row>
    <row r="547">
      <c r="V547" s="175"/>
    </row>
    <row r="548">
      <c r="V548" s="175"/>
    </row>
    <row r="549">
      <c r="V549" s="175"/>
    </row>
    <row r="550">
      <c r="V550" s="175"/>
    </row>
    <row r="551">
      <c r="V551" s="175"/>
    </row>
    <row r="552">
      <c r="V552" s="175"/>
    </row>
    <row r="553">
      <c r="V553" s="175"/>
    </row>
    <row r="554">
      <c r="V554" s="175"/>
    </row>
    <row r="555">
      <c r="V555" s="175"/>
    </row>
    <row r="556">
      <c r="V556" s="175"/>
    </row>
    <row r="557">
      <c r="V557" s="175"/>
    </row>
    <row r="558">
      <c r="V558" s="175"/>
    </row>
    <row r="559">
      <c r="V559" s="175"/>
    </row>
    <row r="560">
      <c r="V560" s="175"/>
    </row>
    <row r="561">
      <c r="V561" s="175"/>
    </row>
    <row r="562">
      <c r="V562" s="175"/>
    </row>
    <row r="563">
      <c r="V563" s="175"/>
    </row>
    <row r="564">
      <c r="V564" s="175"/>
    </row>
    <row r="565">
      <c r="V565" s="175"/>
    </row>
    <row r="566">
      <c r="V566" s="175"/>
    </row>
    <row r="567">
      <c r="V567" s="175"/>
    </row>
    <row r="568">
      <c r="V568" s="175"/>
    </row>
    <row r="569">
      <c r="V569" s="175"/>
    </row>
    <row r="570">
      <c r="V570" s="175"/>
    </row>
    <row r="571">
      <c r="V571" s="175"/>
    </row>
    <row r="572">
      <c r="V572" s="175"/>
    </row>
    <row r="573">
      <c r="V573" s="175"/>
    </row>
    <row r="574">
      <c r="V574" s="175"/>
    </row>
    <row r="575">
      <c r="V575" s="175"/>
    </row>
    <row r="576">
      <c r="V576" s="175"/>
    </row>
    <row r="577">
      <c r="V577" s="175"/>
    </row>
    <row r="578">
      <c r="V578" s="175"/>
    </row>
    <row r="579">
      <c r="V579" s="175"/>
    </row>
    <row r="580">
      <c r="V580" s="175"/>
    </row>
    <row r="581">
      <c r="V581" s="175"/>
    </row>
    <row r="582">
      <c r="V582" s="175"/>
    </row>
    <row r="583">
      <c r="V583" s="175"/>
    </row>
    <row r="584">
      <c r="V584" s="175"/>
    </row>
    <row r="585">
      <c r="V585" s="175"/>
    </row>
    <row r="586">
      <c r="V586" s="175"/>
    </row>
    <row r="587">
      <c r="V587" s="175"/>
    </row>
    <row r="588">
      <c r="V588" s="175"/>
    </row>
    <row r="589">
      <c r="V589" s="175"/>
    </row>
    <row r="590">
      <c r="V590" s="175"/>
    </row>
    <row r="591">
      <c r="V591" s="175"/>
    </row>
    <row r="592">
      <c r="V592" s="175"/>
    </row>
    <row r="593">
      <c r="V593" s="175"/>
    </row>
    <row r="594">
      <c r="V594" s="175"/>
    </row>
    <row r="595">
      <c r="V595" s="175"/>
    </row>
    <row r="596">
      <c r="V596" s="175"/>
    </row>
    <row r="597">
      <c r="V597" s="175"/>
    </row>
    <row r="598">
      <c r="V598" s="175"/>
    </row>
    <row r="599">
      <c r="V599" s="175"/>
    </row>
    <row r="600">
      <c r="V600" s="175"/>
    </row>
    <row r="601">
      <c r="V601" s="175"/>
    </row>
    <row r="602">
      <c r="V602" s="175"/>
    </row>
    <row r="603">
      <c r="V603" s="175"/>
    </row>
    <row r="604">
      <c r="V604" s="175"/>
    </row>
    <row r="605">
      <c r="V605" s="175"/>
    </row>
    <row r="606">
      <c r="V606" s="175"/>
    </row>
    <row r="607">
      <c r="V607" s="175"/>
    </row>
    <row r="608">
      <c r="V608" s="175"/>
    </row>
    <row r="609">
      <c r="V609" s="175"/>
    </row>
    <row r="610">
      <c r="V610" s="175"/>
    </row>
    <row r="611">
      <c r="V611" s="175"/>
    </row>
    <row r="612">
      <c r="V612" s="175"/>
    </row>
    <row r="613">
      <c r="V613" s="175"/>
    </row>
    <row r="614">
      <c r="V614" s="175"/>
    </row>
    <row r="615">
      <c r="V615" s="175"/>
    </row>
    <row r="616">
      <c r="V616" s="175"/>
    </row>
    <row r="617">
      <c r="V617" s="175"/>
    </row>
    <row r="618">
      <c r="V618" s="175"/>
    </row>
    <row r="619">
      <c r="V619" s="175"/>
    </row>
    <row r="620">
      <c r="V620" s="175"/>
    </row>
    <row r="621">
      <c r="V621" s="175"/>
    </row>
    <row r="622">
      <c r="V622" s="175"/>
    </row>
    <row r="623">
      <c r="V623" s="175"/>
    </row>
    <row r="624">
      <c r="V624" s="175"/>
    </row>
    <row r="625">
      <c r="V625" s="175"/>
    </row>
    <row r="626">
      <c r="V626" s="175"/>
    </row>
    <row r="627">
      <c r="V627" s="175"/>
    </row>
    <row r="628">
      <c r="V628" s="175"/>
    </row>
    <row r="629">
      <c r="V629" s="175"/>
    </row>
    <row r="630">
      <c r="V630" s="175"/>
    </row>
    <row r="631">
      <c r="V631" s="175"/>
    </row>
    <row r="632">
      <c r="V632" s="175"/>
    </row>
    <row r="633">
      <c r="V633" s="175"/>
    </row>
    <row r="634">
      <c r="V634" s="175"/>
    </row>
    <row r="635">
      <c r="V635" s="175"/>
    </row>
    <row r="636">
      <c r="V636" s="175"/>
    </row>
    <row r="637">
      <c r="V637" s="175"/>
    </row>
    <row r="638">
      <c r="V638" s="175"/>
    </row>
    <row r="639">
      <c r="V639" s="175"/>
    </row>
    <row r="640">
      <c r="V640" s="175"/>
    </row>
    <row r="641">
      <c r="V641" s="175"/>
    </row>
    <row r="642">
      <c r="V642" s="175"/>
    </row>
    <row r="643">
      <c r="V643" s="175"/>
    </row>
    <row r="644">
      <c r="V644" s="175"/>
    </row>
    <row r="645">
      <c r="V645" s="175"/>
    </row>
    <row r="646">
      <c r="V646" s="175"/>
    </row>
    <row r="647">
      <c r="V647" s="175"/>
    </row>
    <row r="648">
      <c r="V648" s="175"/>
    </row>
    <row r="649">
      <c r="V649" s="175"/>
    </row>
    <row r="650">
      <c r="V650" s="175"/>
    </row>
    <row r="651">
      <c r="V651" s="175"/>
    </row>
    <row r="652">
      <c r="V652" s="175"/>
    </row>
    <row r="653">
      <c r="V653" s="175"/>
    </row>
    <row r="654">
      <c r="V654" s="175"/>
    </row>
    <row r="655">
      <c r="V655" s="175"/>
    </row>
    <row r="656">
      <c r="V656" s="175"/>
    </row>
    <row r="657">
      <c r="V657" s="175"/>
    </row>
    <row r="658">
      <c r="V658" s="175"/>
    </row>
    <row r="659">
      <c r="V659" s="175"/>
    </row>
    <row r="660">
      <c r="V660" s="175"/>
    </row>
    <row r="661">
      <c r="V661" s="175"/>
    </row>
    <row r="662">
      <c r="V662" s="175"/>
    </row>
    <row r="663">
      <c r="V663" s="175"/>
    </row>
    <row r="664">
      <c r="V664" s="175"/>
    </row>
    <row r="665">
      <c r="V665" s="175"/>
    </row>
    <row r="666">
      <c r="V666" s="175"/>
    </row>
    <row r="667">
      <c r="V667" s="175"/>
    </row>
    <row r="668">
      <c r="V668" s="175"/>
    </row>
    <row r="669">
      <c r="V669" s="175"/>
    </row>
    <row r="670">
      <c r="V670" s="175"/>
    </row>
    <row r="671">
      <c r="V671" s="175"/>
    </row>
    <row r="672">
      <c r="V672" s="175"/>
    </row>
    <row r="673">
      <c r="V673" s="175"/>
    </row>
    <row r="674">
      <c r="V674" s="175"/>
    </row>
    <row r="675">
      <c r="V675" s="175"/>
    </row>
    <row r="676">
      <c r="V676" s="175"/>
    </row>
    <row r="677">
      <c r="V677" s="175"/>
    </row>
    <row r="678">
      <c r="V678" s="175"/>
    </row>
    <row r="679">
      <c r="V679" s="175"/>
    </row>
    <row r="680">
      <c r="V680" s="175"/>
    </row>
    <row r="681">
      <c r="V681" s="175"/>
    </row>
    <row r="682">
      <c r="V682" s="175"/>
    </row>
    <row r="683">
      <c r="V683" s="175"/>
    </row>
    <row r="684">
      <c r="V684" s="175"/>
    </row>
    <row r="685">
      <c r="V685" s="175"/>
    </row>
    <row r="686">
      <c r="V686" s="175"/>
    </row>
    <row r="687">
      <c r="V687" s="175"/>
    </row>
    <row r="688">
      <c r="V688" s="175"/>
    </row>
    <row r="689">
      <c r="V689" s="175"/>
    </row>
    <row r="690">
      <c r="V690" s="175"/>
    </row>
    <row r="691">
      <c r="V691" s="175"/>
    </row>
    <row r="692">
      <c r="V692" s="175"/>
    </row>
    <row r="693">
      <c r="V693" s="175"/>
    </row>
    <row r="694">
      <c r="V694" s="175"/>
    </row>
    <row r="695">
      <c r="V695" s="175"/>
    </row>
    <row r="696">
      <c r="V696" s="175"/>
    </row>
    <row r="697">
      <c r="V697" s="175"/>
    </row>
    <row r="698">
      <c r="V698" s="175"/>
    </row>
    <row r="699">
      <c r="V699" s="175"/>
    </row>
    <row r="700">
      <c r="V700" s="175"/>
    </row>
    <row r="701">
      <c r="V701" s="175"/>
    </row>
    <row r="702">
      <c r="V702" s="175"/>
    </row>
    <row r="703">
      <c r="V703" s="175"/>
    </row>
    <row r="704">
      <c r="V704" s="175"/>
    </row>
    <row r="705">
      <c r="V705" s="175"/>
    </row>
    <row r="706">
      <c r="V706" s="175"/>
    </row>
    <row r="707">
      <c r="V707" s="175"/>
    </row>
    <row r="708">
      <c r="V708" s="175"/>
    </row>
    <row r="709">
      <c r="V709" s="175"/>
    </row>
    <row r="710">
      <c r="V710" s="175"/>
    </row>
    <row r="711">
      <c r="V711" s="175"/>
    </row>
    <row r="712">
      <c r="V712" s="175"/>
    </row>
    <row r="713">
      <c r="V713" s="175"/>
    </row>
    <row r="714">
      <c r="V714" s="175"/>
    </row>
    <row r="715">
      <c r="V715" s="175"/>
    </row>
    <row r="716">
      <c r="V716" s="175"/>
    </row>
    <row r="717">
      <c r="V717" s="175"/>
    </row>
    <row r="718">
      <c r="V718" s="175"/>
    </row>
    <row r="719">
      <c r="V719" s="175"/>
    </row>
    <row r="720">
      <c r="V720" s="175"/>
    </row>
    <row r="721">
      <c r="V721" s="175"/>
    </row>
    <row r="722">
      <c r="V722" s="175"/>
    </row>
    <row r="723">
      <c r="V723" s="175"/>
    </row>
    <row r="724">
      <c r="V724" s="175"/>
    </row>
    <row r="725">
      <c r="V725" s="175"/>
    </row>
    <row r="726">
      <c r="V726" s="175"/>
    </row>
    <row r="727">
      <c r="V727" s="175"/>
    </row>
    <row r="728">
      <c r="V728" s="175"/>
    </row>
    <row r="729">
      <c r="V729" s="175"/>
    </row>
    <row r="730">
      <c r="V730" s="175"/>
    </row>
    <row r="731">
      <c r="V731" s="175"/>
    </row>
    <row r="732">
      <c r="V732" s="175"/>
    </row>
    <row r="733">
      <c r="V733" s="175"/>
    </row>
    <row r="734">
      <c r="V734" s="175"/>
    </row>
    <row r="735">
      <c r="V735" s="175"/>
    </row>
    <row r="736">
      <c r="V736" s="175"/>
    </row>
    <row r="737">
      <c r="V737" s="175"/>
    </row>
    <row r="738">
      <c r="V738" s="175"/>
    </row>
    <row r="739">
      <c r="V739" s="175"/>
    </row>
    <row r="740">
      <c r="V740" s="175"/>
    </row>
    <row r="741">
      <c r="V741" s="175"/>
    </row>
    <row r="742">
      <c r="V742" s="175"/>
    </row>
    <row r="743">
      <c r="V743" s="175"/>
    </row>
    <row r="744">
      <c r="V744" s="175"/>
    </row>
    <row r="745">
      <c r="V745" s="175"/>
    </row>
    <row r="746">
      <c r="V746" s="175"/>
    </row>
    <row r="747">
      <c r="V747" s="175"/>
    </row>
    <row r="748">
      <c r="V748" s="175"/>
    </row>
    <row r="749">
      <c r="V749" s="175"/>
    </row>
    <row r="750">
      <c r="V750" s="175"/>
    </row>
    <row r="751">
      <c r="V751" s="175"/>
    </row>
    <row r="752">
      <c r="V752" s="175"/>
    </row>
    <row r="753">
      <c r="V753" s="175"/>
    </row>
    <row r="754">
      <c r="V754" s="175"/>
    </row>
    <row r="755">
      <c r="V755" s="175"/>
    </row>
    <row r="756">
      <c r="V756" s="175"/>
    </row>
    <row r="757">
      <c r="V757" s="175"/>
    </row>
    <row r="758">
      <c r="V758" s="175"/>
    </row>
    <row r="759">
      <c r="V759" s="175"/>
    </row>
    <row r="760">
      <c r="V760" s="175"/>
    </row>
    <row r="761">
      <c r="V761" s="175"/>
    </row>
    <row r="762">
      <c r="V762" s="175"/>
    </row>
    <row r="763">
      <c r="V763" s="175"/>
    </row>
    <row r="764">
      <c r="V764" s="175"/>
    </row>
    <row r="765">
      <c r="V765" s="175"/>
    </row>
    <row r="766">
      <c r="V766" s="175"/>
    </row>
    <row r="767">
      <c r="V767" s="175"/>
    </row>
    <row r="768">
      <c r="V768" s="175"/>
    </row>
    <row r="769">
      <c r="V769" s="175"/>
    </row>
    <row r="770">
      <c r="V770" s="175"/>
    </row>
    <row r="771">
      <c r="V771" s="175"/>
    </row>
    <row r="772">
      <c r="V772" s="175"/>
    </row>
    <row r="773">
      <c r="V773" s="175"/>
    </row>
    <row r="774">
      <c r="V774" s="175"/>
    </row>
    <row r="775">
      <c r="V775" s="175"/>
    </row>
    <row r="776">
      <c r="V776" s="175"/>
    </row>
    <row r="777">
      <c r="V777" s="175"/>
    </row>
    <row r="778">
      <c r="V778" s="175"/>
    </row>
    <row r="779">
      <c r="V779" s="175"/>
    </row>
    <row r="780">
      <c r="V780" s="175"/>
    </row>
    <row r="781">
      <c r="V781" s="175"/>
    </row>
    <row r="782">
      <c r="V782" s="175"/>
    </row>
    <row r="783">
      <c r="V783" s="175"/>
    </row>
    <row r="784">
      <c r="V784" s="175"/>
    </row>
    <row r="785">
      <c r="V785" s="175"/>
    </row>
    <row r="786">
      <c r="V786" s="175"/>
    </row>
    <row r="787">
      <c r="V787" s="175"/>
    </row>
    <row r="788">
      <c r="V788" s="175"/>
    </row>
    <row r="789">
      <c r="V789" s="175"/>
    </row>
    <row r="790">
      <c r="V790" s="175"/>
    </row>
    <row r="791">
      <c r="V791" s="175"/>
    </row>
    <row r="792">
      <c r="V792" s="175"/>
    </row>
    <row r="793">
      <c r="V793" s="175"/>
    </row>
    <row r="794">
      <c r="V794" s="175"/>
    </row>
    <row r="795">
      <c r="V795" s="175"/>
    </row>
    <row r="796">
      <c r="V796" s="175"/>
    </row>
    <row r="797">
      <c r="V797" s="175"/>
    </row>
    <row r="798">
      <c r="V798" s="175"/>
    </row>
    <row r="799">
      <c r="V799" s="175"/>
    </row>
    <row r="800">
      <c r="V800" s="175"/>
    </row>
    <row r="801">
      <c r="V801" s="175"/>
    </row>
    <row r="802">
      <c r="V802" s="175"/>
    </row>
    <row r="803">
      <c r="V803" s="175"/>
    </row>
    <row r="804">
      <c r="V804" s="175"/>
    </row>
    <row r="805">
      <c r="V805" s="175"/>
    </row>
    <row r="806">
      <c r="V806" s="175"/>
    </row>
    <row r="807">
      <c r="V807" s="175"/>
    </row>
    <row r="808">
      <c r="V808" s="175"/>
    </row>
    <row r="809">
      <c r="V809" s="175"/>
    </row>
    <row r="810">
      <c r="V810" s="175"/>
    </row>
    <row r="811">
      <c r="V811" s="175"/>
    </row>
    <row r="812">
      <c r="V812" s="175"/>
    </row>
    <row r="813">
      <c r="V813" s="175"/>
    </row>
    <row r="814">
      <c r="V814" s="175"/>
    </row>
    <row r="815">
      <c r="V815" s="175"/>
    </row>
    <row r="816">
      <c r="V816" s="175"/>
    </row>
    <row r="817">
      <c r="V817" s="175"/>
    </row>
    <row r="818">
      <c r="V818" s="175"/>
    </row>
    <row r="819">
      <c r="V819" s="175"/>
    </row>
    <row r="820">
      <c r="V820" s="175"/>
    </row>
    <row r="821">
      <c r="V821" s="175"/>
    </row>
    <row r="822">
      <c r="V822" s="175"/>
    </row>
    <row r="823">
      <c r="V823" s="175"/>
    </row>
    <row r="824">
      <c r="V824" s="175"/>
    </row>
    <row r="825">
      <c r="V825" s="175"/>
    </row>
    <row r="826">
      <c r="V826" s="175"/>
    </row>
    <row r="827">
      <c r="V827" s="175"/>
    </row>
    <row r="828">
      <c r="V828" s="175"/>
    </row>
    <row r="829">
      <c r="V829" s="175"/>
    </row>
    <row r="830">
      <c r="V830" s="175"/>
    </row>
    <row r="831">
      <c r="V831" s="175"/>
    </row>
    <row r="832">
      <c r="V832" s="175"/>
    </row>
    <row r="833">
      <c r="V833" s="175"/>
    </row>
    <row r="834">
      <c r="V834" s="175"/>
    </row>
    <row r="835">
      <c r="V835" s="175"/>
    </row>
    <row r="836">
      <c r="V836" s="175"/>
    </row>
    <row r="837">
      <c r="V837" s="175"/>
    </row>
    <row r="838">
      <c r="V838" s="175"/>
    </row>
    <row r="839">
      <c r="V839" s="175"/>
    </row>
    <row r="840">
      <c r="V840" s="175"/>
    </row>
    <row r="841">
      <c r="V841" s="175"/>
    </row>
    <row r="842">
      <c r="V842" s="175"/>
    </row>
    <row r="843">
      <c r="V843" s="175"/>
    </row>
    <row r="844">
      <c r="V844" s="175"/>
    </row>
    <row r="845">
      <c r="V845" s="175"/>
    </row>
    <row r="846">
      <c r="V846" s="175"/>
    </row>
    <row r="847">
      <c r="V847" s="175"/>
    </row>
    <row r="848">
      <c r="V848" s="175"/>
    </row>
    <row r="849">
      <c r="V849" s="175"/>
    </row>
    <row r="850">
      <c r="V850" s="175"/>
    </row>
    <row r="851">
      <c r="V851" s="175"/>
    </row>
    <row r="852">
      <c r="V852" s="175"/>
    </row>
    <row r="853">
      <c r="V853" s="175"/>
    </row>
    <row r="854">
      <c r="V854" s="175"/>
    </row>
    <row r="855">
      <c r="V855" s="175"/>
    </row>
    <row r="856">
      <c r="V856" s="175"/>
    </row>
    <row r="857">
      <c r="V857" s="175"/>
    </row>
    <row r="858">
      <c r="V858" s="175"/>
    </row>
    <row r="859">
      <c r="V859" s="175"/>
    </row>
    <row r="860">
      <c r="V860" s="175"/>
    </row>
    <row r="861">
      <c r="V861" s="175"/>
    </row>
    <row r="862">
      <c r="V862" s="175"/>
    </row>
    <row r="863">
      <c r="V863" s="175"/>
    </row>
    <row r="864">
      <c r="V864" s="175"/>
    </row>
    <row r="865">
      <c r="V865" s="175"/>
    </row>
    <row r="866">
      <c r="V866" s="175"/>
    </row>
    <row r="867">
      <c r="V867" s="175"/>
    </row>
    <row r="868">
      <c r="V868" s="175"/>
    </row>
    <row r="869">
      <c r="V869" s="175"/>
    </row>
    <row r="870">
      <c r="V870" s="175"/>
    </row>
    <row r="871">
      <c r="V871" s="175"/>
    </row>
    <row r="872">
      <c r="V872" s="175"/>
    </row>
    <row r="873">
      <c r="V873" s="175"/>
    </row>
    <row r="874">
      <c r="V874" s="175"/>
    </row>
    <row r="875">
      <c r="V875" s="175"/>
    </row>
    <row r="876">
      <c r="V876" s="175"/>
    </row>
    <row r="877">
      <c r="V877" s="175"/>
    </row>
    <row r="878">
      <c r="V878" s="175"/>
    </row>
    <row r="879">
      <c r="V879" s="175"/>
    </row>
    <row r="880">
      <c r="V880" s="175"/>
    </row>
    <row r="881">
      <c r="V881" s="175"/>
    </row>
    <row r="882">
      <c r="V882" s="175"/>
    </row>
    <row r="883">
      <c r="V883" s="175"/>
    </row>
    <row r="884">
      <c r="V884" s="175"/>
    </row>
    <row r="885">
      <c r="V885" s="175"/>
    </row>
    <row r="886">
      <c r="V886" s="175"/>
    </row>
    <row r="887">
      <c r="V887" s="175"/>
    </row>
    <row r="888">
      <c r="V888" s="175"/>
    </row>
    <row r="889">
      <c r="V889" s="175"/>
    </row>
    <row r="890">
      <c r="V890" s="175"/>
    </row>
    <row r="891">
      <c r="V891" s="175"/>
    </row>
    <row r="892">
      <c r="V892" s="175"/>
    </row>
    <row r="893">
      <c r="V893" s="175"/>
    </row>
    <row r="894">
      <c r="V894" s="175"/>
    </row>
    <row r="895">
      <c r="V895" s="175"/>
    </row>
    <row r="896">
      <c r="V896" s="175"/>
    </row>
    <row r="897">
      <c r="V897" s="175"/>
    </row>
    <row r="898">
      <c r="V898" s="175"/>
    </row>
    <row r="899">
      <c r="V899" s="175"/>
    </row>
    <row r="900">
      <c r="V900" s="175"/>
    </row>
    <row r="901">
      <c r="V901" s="175"/>
    </row>
    <row r="902">
      <c r="V902" s="175"/>
    </row>
    <row r="903">
      <c r="V903" s="175"/>
    </row>
    <row r="904">
      <c r="V904" s="175"/>
    </row>
    <row r="905">
      <c r="V905" s="175"/>
    </row>
    <row r="906">
      <c r="V906" s="175"/>
    </row>
    <row r="907">
      <c r="V907" s="175"/>
    </row>
    <row r="908">
      <c r="V908" s="175"/>
    </row>
    <row r="909">
      <c r="V909" s="175"/>
    </row>
    <row r="910">
      <c r="V910" s="175"/>
    </row>
    <row r="911">
      <c r="V911" s="175"/>
    </row>
    <row r="912">
      <c r="V912" s="175"/>
    </row>
    <row r="913">
      <c r="V913" s="175"/>
    </row>
    <row r="914">
      <c r="V914" s="175"/>
    </row>
    <row r="915">
      <c r="V915" s="175"/>
    </row>
    <row r="916">
      <c r="V916" s="175"/>
    </row>
    <row r="917">
      <c r="V917" s="175"/>
    </row>
    <row r="918">
      <c r="V918" s="175"/>
    </row>
    <row r="919">
      <c r="V919" s="175"/>
    </row>
    <row r="920">
      <c r="V920" s="175"/>
    </row>
    <row r="921">
      <c r="V921" s="175"/>
    </row>
    <row r="922">
      <c r="V922" s="175"/>
    </row>
    <row r="923">
      <c r="V923" s="175"/>
    </row>
    <row r="924">
      <c r="V924" s="175"/>
    </row>
    <row r="925">
      <c r="V925" s="175"/>
    </row>
    <row r="926">
      <c r="V926" s="175"/>
    </row>
    <row r="927">
      <c r="V927" s="175"/>
    </row>
    <row r="928">
      <c r="V928" s="175"/>
    </row>
    <row r="929">
      <c r="V929" s="175"/>
    </row>
    <row r="930">
      <c r="V930" s="175"/>
    </row>
    <row r="931">
      <c r="V931" s="175"/>
    </row>
    <row r="932">
      <c r="V932" s="175"/>
    </row>
    <row r="933">
      <c r="V933" s="175"/>
    </row>
    <row r="934">
      <c r="V934" s="175"/>
    </row>
    <row r="935">
      <c r="V935" s="175"/>
    </row>
    <row r="936">
      <c r="V936" s="175"/>
    </row>
    <row r="937">
      <c r="V937" s="175"/>
    </row>
    <row r="938">
      <c r="V938" s="175"/>
    </row>
    <row r="939">
      <c r="V939" s="175"/>
    </row>
    <row r="940">
      <c r="V940" s="175"/>
    </row>
    <row r="941">
      <c r="V941" s="175"/>
    </row>
    <row r="942">
      <c r="V942" s="175"/>
    </row>
    <row r="943">
      <c r="V943" s="175"/>
    </row>
    <row r="944">
      <c r="V944" s="17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8.13"/>
    <col customWidth="1" min="3" max="3" width="13.5"/>
    <col customWidth="1" min="4" max="4" width="51.5"/>
  </cols>
  <sheetData>
    <row r="1">
      <c r="A1" s="185" t="s">
        <v>147</v>
      </c>
      <c r="B1" s="185" t="s">
        <v>148</v>
      </c>
      <c r="C1" s="185" t="s">
        <v>149</v>
      </c>
      <c r="D1" s="14" t="s">
        <v>201</v>
      </c>
    </row>
    <row r="2">
      <c r="A2" s="186">
        <v>1.0</v>
      </c>
      <c r="B2" s="187" t="s">
        <v>150</v>
      </c>
      <c r="C2" s="187" t="s">
        <v>77</v>
      </c>
    </row>
    <row r="3">
      <c r="A3" s="188">
        <v>2.0</v>
      </c>
      <c r="B3" s="189" t="s">
        <v>151</v>
      </c>
      <c r="C3" s="189" t="s">
        <v>79</v>
      </c>
    </row>
    <row r="4">
      <c r="A4" s="186">
        <v>3.0</v>
      </c>
      <c r="B4" s="187" t="s">
        <v>152</v>
      </c>
      <c r="C4" s="187" t="s">
        <v>78</v>
      </c>
    </row>
    <row r="5">
      <c r="A5" s="188">
        <v>4.0</v>
      </c>
      <c r="B5" s="189" t="s">
        <v>153</v>
      </c>
      <c r="C5" s="189" t="s">
        <v>75</v>
      </c>
    </row>
    <row r="6">
      <c r="A6" s="186">
        <v>5.0</v>
      </c>
      <c r="B6" s="187" t="s">
        <v>154</v>
      </c>
      <c r="C6" s="187" t="s">
        <v>76</v>
      </c>
    </row>
    <row r="7">
      <c r="A7" s="188">
        <v>6.0</v>
      </c>
      <c r="B7" s="189" t="s">
        <v>155</v>
      </c>
      <c r="C7" s="189" t="s">
        <v>77</v>
      </c>
    </row>
    <row r="8">
      <c r="A8" s="186">
        <v>7.0</v>
      </c>
      <c r="B8" s="187" t="s">
        <v>156</v>
      </c>
      <c r="C8" s="187" t="s">
        <v>79</v>
      </c>
    </row>
    <row r="9">
      <c r="A9" s="188">
        <v>8.0</v>
      </c>
      <c r="B9" s="189" t="s">
        <v>202</v>
      </c>
      <c r="C9" s="189" t="s">
        <v>78</v>
      </c>
    </row>
    <row r="10">
      <c r="A10" s="186">
        <v>9.0</v>
      </c>
      <c r="B10" s="187" t="s">
        <v>157</v>
      </c>
      <c r="C10" s="187" t="s">
        <v>75</v>
      </c>
    </row>
    <row r="11">
      <c r="A11" s="188">
        <v>10.0</v>
      </c>
      <c r="B11" s="189" t="s">
        <v>158</v>
      </c>
      <c r="C11" s="189" t="s">
        <v>76</v>
      </c>
    </row>
    <row r="12">
      <c r="A12" s="186">
        <v>11.0</v>
      </c>
      <c r="B12" s="187" t="s">
        <v>159</v>
      </c>
      <c r="C12" s="187" t="s">
        <v>77</v>
      </c>
    </row>
    <row r="13">
      <c r="A13" s="188">
        <v>12.0</v>
      </c>
      <c r="B13" s="189" t="s">
        <v>160</v>
      </c>
      <c r="C13" s="189" t="s">
        <v>79</v>
      </c>
    </row>
    <row r="14">
      <c r="A14" s="186">
        <v>13.0</v>
      </c>
      <c r="B14" s="187" t="s">
        <v>162</v>
      </c>
      <c r="C14" s="187" t="s">
        <v>78</v>
      </c>
    </row>
    <row r="15">
      <c r="A15" s="188">
        <v>14.0</v>
      </c>
      <c r="B15" s="189" t="s">
        <v>163</v>
      </c>
      <c r="C15" s="189" t="s">
        <v>75</v>
      </c>
    </row>
    <row r="16">
      <c r="A16" s="186">
        <v>15.0</v>
      </c>
      <c r="B16" s="187" t="s">
        <v>83</v>
      </c>
      <c r="C16" s="187" t="s">
        <v>76</v>
      </c>
    </row>
    <row r="17">
      <c r="A17" s="188">
        <v>16.0</v>
      </c>
      <c r="B17" s="189" t="s">
        <v>85</v>
      </c>
      <c r="C17" s="189" t="s">
        <v>77</v>
      </c>
    </row>
    <row r="18">
      <c r="A18" s="186">
        <v>17.0</v>
      </c>
      <c r="B18" s="187" t="s">
        <v>86</v>
      </c>
      <c r="C18" s="187" t="s">
        <v>79</v>
      </c>
    </row>
    <row r="19">
      <c r="A19" s="188">
        <v>18.0</v>
      </c>
      <c r="B19" s="189" t="s">
        <v>87</v>
      </c>
      <c r="C19" s="189" t="s">
        <v>78</v>
      </c>
    </row>
    <row r="20">
      <c r="A20" s="186">
        <v>19.0</v>
      </c>
      <c r="B20" s="187" t="s">
        <v>88</v>
      </c>
      <c r="C20" s="187" t="s">
        <v>75</v>
      </c>
    </row>
    <row r="21">
      <c r="A21" s="188">
        <v>20.0</v>
      </c>
      <c r="B21" s="189" t="s">
        <v>89</v>
      </c>
      <c r="C21" s="189" t="s">
        <v>76</v>
      </c>
    </row>
    <row r="22">
      <c r="A22" s="186">
        <v>21.0</v>
      </c>
      <c r="B22" s="187" t="s">
        <v>90</v>
      </c>
      <c r="C22" s="187" t="s">
        <v>77</v>
      </c>
    </row>
    <row r="23">
      <c r="A23" s="188">
        <v>22.0</v>
      </c>
      <c r="B23" s="189" t="s">
        <v>203</v>
      </c>
      <c r="C23" s="189" t="s">
        <v>79</v>
      </c>
    </row>
    <row r="24">
      <c r="A24" s="186">
        <v>23.0</v>
      </c>
      <c r="B24" s="187" t="s">
        <v>91</v>
      </c>
      <c r="C24" s="187" t="s">
        <v>78</v>
      </c>
    </row>
    <row r="25">
      <c r="A25" s="188">
        <v>24.0</v>
      </c>
      <c r="B25" s="189" t="s">
        <v>93</v>
      </c>
      <c r="C25" s="189" t="s">
        <v>75</v>
      </c>
    </row>
    <row r="26">
      <c r="A26" s="186">
        <v>25.0</v>
      </c>
      <c r="B26" s="187" t="s">
        <v>94</v>
      </c>
      <c r="C26" s="187" t="s">
        <v>76</v>
      </c>
    </row>
    <row r="27">
      <c r="A27" s="188">
        <v>26.0</v>
      </c>
      <c r="B27" s="189" t="s">
        <v>95</v>
      </c>
      <c r="C27" s="189" t="s">
        <v>77</v>
      </c>
    </row>
    <row r="28">
      <c r="A28" s="186">
        <v>27.0</v>
      </c>
      <c r="B28" s="187" t="s">
        <v>165</v>
      </c>
      <c r="C28" s="187" t="s">
        <v>79</v>
      </c>
    </row>
    <row r="29">
      <c r="A29" s="188">
        <v>28.0</v>
      </c>
      <c r="B29" s="189" t="s">
        <v>166</v>
      </c>
      <c r="C29" s="189" t="s">
        <v>78</v>
      </c>
    </row>
    <row r="30">
      <c r="A30" s="186">
        <v>29.0</v>
      </c>
      <c r="B30" s="187" t="s">
        <v>167</v>
      </c>
      <c r="C30" s="187" t="s">
        <v>75</v>
      </c>
    </row>
    <row r="31">
      <c r="A31" s="188">
        <v>30.0</v>
      </c>
      <c r="B31" s="189" t="s">
        <v>168</v>
      </c>
      <c r="C31" s="189" t="s">
        <v>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90" t="s">
        <v>204</v>
      </c>
      <c r="B1" s="190" t="s">
        <v>205</v>
      </c>
      <c r="C1" s="190" t="s">
        <v>206</v>
      </c>
      <c r="D1" s="190" t="s">
        <v>207</v>
      </c>
      <c r="E1" s="190" t="s">
        <v>208</v>
      </c>
      <c r="F1" s="191" t="s">
        <v>209</v>
      </c>
    </row>
    <row r="2">
      <c r="A2" s="192">
        <v>1.0</v>
      </c>
      <c r="B2" s="193" t="s">
        <v>76</v>
      </c>
      <c r="C2" s="193" t="s">
        <v>76</v>
      </c>
      <c r="D2" s="193" t="s">
        <v>76</v>
      </c>
      <c r="E2" s="193" t="s">
        <v>79</v>
      </c>
      <c r="F2" s="193" t="s">
        <v>76</v>
      </c>
    </row>
    <row r="3">
      <c r="A3" s="192">
        <v>2.0</v>
      </c>
      <c r="B3" s="193" t="s">
        <v>75</v>
      </c>
      <c r="C3" s="193" t="s">
        <v>78</v>
      </c>
      <c r="D3" s="193" t="s">
        <v>77</v>
      </c>
      <c r="E3" s="193" t="s">
        <v>75</v>
      </c>
      <c r="F3" s="193" t="s">
        <v>75</v>
      </c>
    </row>
    <row r="4">
      <c r="A4" s="192">
        <v>3.0</v>
      </c>
      <c r="B4" s="193" t="s">
        <v>79</v>
      </c>
      <c r="C4" s="193" t="s">
        <v>79</v>
      </c>
      <c r="D4" s="193" t="s">
        <v>78</v>
      </c>
      <c r="E4" s="193" t="s">
        <v>78</v>
      </c>
      <c r="F4" s="193" t="s">
        <v>79</v>
      </c>
    </row>
    <row r="5">
      <c r="A5" s="192">
        <v>4.0</v>
      </c>
      <c r="B5" s="193" t="s">
        <v>78</v>
      </c>
      <c r="C5" s="193" t="s">
        <v>78</v>
      </c>
      <c r="D5" s="193" t="s">
        <v>78</v>
      </c>
      <c r="E5" s="193" t="s">
        <v>76</v>
      </c>
      <c r="F5" s="193" t="s">
        <v>78</v>
      </c>
    </row>
    <row r="6">
      <c r="A6" s="192">
        <v>5.0</v>
      </c>
      <c r="B6" s="193" t="s">
        <v>77</v>
      </c>
      <c r="C6" s="193" t="s">
        <v>75</v>
      </c>
      <c r="D6" s="193" t="s">
        <v>78</v>
      </c>
      <c r="E6" s="193" t="s">
        <v>77</v>
      </c>
      <c r="F6" s="193" t="s">
        <v>77</v>
      </c>
    </row>
    <row r="7">
      <c r="A7" s="192">
        <v>6.0</v>
      </c>
      <c r="B7" s="193" t="s">
        <v>76</v>
      </c>
      <c r="C7" s="193" t="s">
        <v>77</v>
      </c>
      <c r="D7" s="193" t="s">
        <v>79</v>
      </c>
      <c r="E7" s="193" t="s">
        <v>75</v>
      </c>
      <c r="F7" s="193" t="s">
        <v>76</v>
      </c>
    </row>
    <row r="8">
      <c r="A8" s="192">
        <v>7.0</v>
      </c>
      <c r="B8" s="193" t="s">
        <v>77</v>
      </c>
      <c r="C8" s="193" t="s">
        <v>75</v>
      </c>
      <c r="D8" s="193" t="s">
        <v>75</v>
      </c>
      <c r="E8" s="193" t="s">
        <v>77</v>
      </c>
      <c r="F8" s="193" t="s">
        <v>77</v>
      </c>
    </row>
    <row r="9">
      <c r="A9" s="192">
        <v>8.0</v>
      </c>
      <c r="B9" s="193" t="s">
        <v>78</v>
      </c>
      <c r="C9" s="193" t="s">
        <v>76</v>
      </c>
      <c r="D9" s="193" t="s">
        <v>78</v>
      </c>
      <c r="E9" s="193" t="s">
        <v>78</v>
      </c>
      <c r="F9" s="193" t="s">
        <v>78</v>
      </c>
    </row>
    <row r="10">
      <c r="A10" s="192">
        <v>9.0</v>
      </c>
      <c r="B10" s="193" t="s">
        <v>78</v>
      </c>
      <c r="C10" s="193" t="s">
        <v>77</v>
      </c>
      <c r="D10" s="193" t="s">
        <v>75</v>
      </c>
      <c r="E10" s="193" t="s">
        <v>78</v>
      </c>
      <c r="F10" s="193" t="s">
        <v>78</v>
      </c>
    </row>
    <row r="11">
      <c r="A11" s="192">
        <v>10.0</v>
      </c>
      <c r="B11" s="193" t="s">
        <v>77</v>
      </c>
      <c r="C11" s="193" t="s">
        <v>78</v>
      </c>
      <c r="D11" s="193" t="s">
        <v>77</v>
      </c>
      <c r="E11" s="193" t="s">
        <v>76</v>
      </c>
      <c r="F11" s="193" t="s">
        <v>77</v>
      </c>
    </row>
    <row r="12">
      <c r="A12" s="192">
        <v>11.0</v>
      </c>
      <c r="B12" s="193" t="s">
        <v>76</v>
      </c>
      <c r="C12" s="193" t="s">
        <v>79</v>
      </c>
      <c r="D12" s="193" t="s">
        <v>79</v>
      </c>
      <c r="E12" s="193" t="s">
        <v>79</v>
      </c>
      <c r="F12" s="193" t="s">
        <v>76</v>
      </c>
    </row>
    <row r="13">
      <c r="A13" s="192">
        <v>12.0</v>
      </c>
      <c r="B13" s="193" t="s">
        <v>79</v>
      </c>
      <c r="C13" s="193" t="s">
        <v>75</v>
      </c>
      <c r="D13" s="193" t="s">
        <v>75</v>
      </c>
      <c r="E13" s="193" t="s">
        <v>78</v>
      </c>
      <c r="F13" s="193" t="s">
        <v>79</v>
      </c>
    </row>
    <row r="14">
      <c r="A14" s="192">
        <v>13.0</v>
      </c>
      <c r="B14" s="193" t="s">
        <v>76</v>
      </c>
      <c r="C14" s="193" t="s">
        <v>79</v>
      </c>
      <c r="D14" s="193" t="s">
        <v>76</v>
      </c>
      <c r="E14" s="193" t="s">
        <v>77</v>
      </c>
      <c r="F14" s="193" t="s">
        <v>76</v>
      </c>
    </row>
    <row r="15">
      <c r="A15" s="192">
        <v>14.0</v>
      </c>
      <c r="B15" s="193" t="s">
        <v>78</v>
      </c>
      <c r="C15" s="193" t="s">
        <v>76</v>
      </c>
      <c r="D15" s="193" t="s">
        <v>77</v>
      </c>
      <c r="E15" s="193" t="s">
        <v>77</v>
      </c>
      <c r="F15" s="193" t="s">
        <v>78</v>
      </c>
    </row>
    <row r="16">
      <c r="A16" s="192">
        <v>15.0</v>
      </c>
      <c r="B16" s="193" t="s">
        <v>75</v>
      </c>
      <c r="C16" s="193" t="s">
        <v>75</v>
      </c>
      <c r="D16" s="193" t="s">
        <v>75</v>
      </c>
      <c r="E16" s="193" t="s">
        <v>75</v>
      </c>
      <c r="F16" s="193" t="s">
        <v>75</v>
      </c>
    </row>
    <row r="17">
      <c r="A17" s="192" t="s">
        <v>210</v>
      </c>
      <c r="B17" s="194"/>
      <c r="C17" s="194"/>
      <c r="D17" s="194"/>
      <c r="E17" s="194"/>
      <c r="F17" s="194"/>
    </row>
    <row r="18">
      <c r="A18" s="192">
        <v>16.0</v>
      </c>
      <c r="B18" s="193" t="s">
        <v>79</v>
      </c>
      <c r="C18" s="193" t="s">
        <v>77</v>
      </c>
      <c r="D18" s="193" t="s">
        <v>76</v>
      </c>
      <c r="E18" s="193" t="s">
        <v>76</v>
      </c>
      <c r="F18" s="193" t="s">
        <v>79</v>
      </c>
    </row>
    <row r="19">
      <c r="A19" s="192">
        <v>17.0</v>
      </c>
      <c r="B19" s="193" t="s">
        <v>75</v>
      </c>
      <c r="C19" s="193" t="s">
        <v>75</v>
      </c>
      <c r="D19" s="193" t="s">
        <v>77</v>
      </c>
      <c r="E19" s="193" t="s">
        <v>78</v>
      </c>
      <c r="F19" s="193" t="s">
        <v>75</v>
      </c>
    </row>
    <row r="20">
      <c r="A20" s="192">
        <v>18.0</v>
      </c>
      <c r="B20" s="193" t="s">
        <v>76</v>
      </c>
      <c r="C20" s="193" t="s">
        <v>75</v>
      </c>
      <c r="D20" s="193" t="s">
        <v>78</v>
      </c>
      <c r="E20" s="193" t="s">
        <v>75</v>
      </c>
      <c r="F20" s="193" t="s">
        <v>76</v>
      </c>
    </row>
    <row r="21">
      <c r="A21" s="192">
        <v>19.0</v>
      </c>
      <c r="B21" s="193" t="s">
        <v>75</v>
      </c>
      <c r="C21" s="193" t="s">
        <v>78</v>
      </c>
      <c r="D21" s="193" t="s">
        <v>76</v>
      </c>
      <c r="E21" s="193" t="s">
        <v>79</v>
      </c>
      <c r="F21" s="193" t="s">
        <v>75</v>
      </c>
    </row>
    <row r="22">
      <c r="A22" s="192">
        <v>20.0</v>
      </c>
      <c r="B22" s="193" t="s">
        <v>75</v>
      </c>
      <c r="C22" s="193" t="s">
        <v>77</v>
      </c>
      <c r="D22" s="193" t="s">
        <v>78</v>
      </c>
      <c r="E22" s="193" t="s">
        <v>79</v>
      </c>
      <c r="F22" s="193" t="s">
        <v>75</v>
      </c>
    </row>
    <row r="23">
      <c r="A23" s="192">
        <v>21.0</v>
      </c>
      <c r="B23" s="193" t="s">
        <v>79</v>
      </c>
      <c r="C23" s="193" t="s">
        <v>76</v>
      </c>
      <c r="D23" s="193" t="s">
        <v>79</v>
      </c>
      <c r="E23" s="193" t="s">
        <v>75</v>
      </c>
      <c r="F23" s="193" t="s">
        <v>79</v>
      </c>
    </row>
    <row r="24">
      <c r="A24" s="192">
        <v>22.0</v>
      </c>
      <c r="B24" s="193" t="s">
        <v>77</v>
      </c>
      <c r="C24" s="193" t="s">
        <v>77</v>
      </c>
      <c r="D24" s="193" t="s">
        <v>76</v>
      </c>
      <c r="E24" s="193" t="s">
        <v>76</v>
      </c>
      <c r="F24" s="193" t="s">
        <v>77</v>
      </c>
    </row>
    <row r="25">
      <c r="A25" s="192">
        <v>23.0</v>
      </c>
      <c r="B25" s="193" t="s">
        <v>76</v>
      </c>
      <c r="C25" s="193" t="s">
        <v>76</v>
      </c>
      <c r="D25" s="193" t="s">
        <v>75</v>
      </c>
      <c r="E25" s="193" t="s">
        <v>79</v>
      </c>
      <c r="F25" s="193" t="s">
        <v>76</v>
      </c>
    </row>
    <row r="26">
      <c r="A26" s="192">
        <v>24.0</v>
      </c>
      <c r="B26" s="193" t="s">
        <v>77</v>
      </c>
      <c r="C26" s="193" t="s">
        <v>79</v>
      </c>
      <c r="D26" s="193" t="s">
        <v>78</v>
      </c>
      <c r="E26" s="193" t="s">
        <v>77</v>
      </c>
      <c r="F26" s="193" t="s">
        <v>77</v>
      </c>
    </row>
    <row r="27">
      <c r="A27" s="192">
        <v>25.0</v>
      </c>
      <c r="B27" s="193" t="s">
        <v>78</v>
      </c>
      <c r="C27" s="193" t="s">
        <v>76</v>
      </c>
      <c r="D27" s="193" t="s">
        <v>75</v>
      </c>
      <c r="E27" s="193" t="s">
        <v>76</v>
      </c>
      <c r="F27" s="193" t="s">
        <v>78</v>
      </c>
    </row>
    <row r="28">
      <c r="A28" s="192">
        <v>26.0</v>
      </c>
      <c r="B28" s="193" t="s">
        <v>79</v>
      </c>
      <c r="C28" s="193" t="s">
        <v>77</v>
      </c>
      <c r="D28" s="193" t="s">
        <v>76</v>
      </c>
      <c r="E28" s="193" t="s">
        <v>78</v>
      </c>
      <c r="F28" s="193" t="s">
        <v>79</v>
      </c>
    </row>
    <row r="29">
      <c r="A29" s="192">
        <v>27.0</v>
      </c>
      <c r="B29" s="193" t="s">
        <v>75</v>
      </c>
      <c r="C29" s="193" t="s">
        <v>79</v>
      </c>
      <c r="D29" s="193" t="s">
        <v>77</v>
      </c>
      <c r="E29" s="193" t="s">
        <v>75</v>
      </c>
      <c r="F29" s="193" t="s">
        <v>75</v>
      </c>
    </row>
    <row r="30">
      <c r="A30" s="192">
        <v>28.0</v>
      </c>
      <c r="B30" s="193" t="s">
        <v>78</v>
      </c>
      <c r="C30" s="193" t="s">
        <v>78</v>
      </c>
      <c r="D30" s="193" t="s">
        <v>79</v>
      </c>
      <c r="E30" s="193" t="s">
        <v>77</v>
      </c>
      <c r="F30" s="193" t="s">
        <v>78</v>
      </c>
    </row>
    <row r="31">
      <c r="A31" s="192">
        <v>29.0</v>
      </c>
      <c r="B31" s="193" t="s">
        <v>79</v>
      </c>
      <c r="C31" s="193" t="s">
        <v>79</v>
      </c>
      <c r="D31" s="193" t="s">
        <v>79</v>
      </c>
      <c r="E31" s="193" t="s">
        <v>79</v>
      </c>
      <c r="F31" s="193" t="s">
        <v>79</v>
      </c>
    </row>
    <row r="32">
      <c r="A32" s="192">
        <v>30.0</v>
      </c>
      <c r="B32" s="193" t="s">
        <v>77</v>
      </c>
      <c r="C32" s="193" t="s">
        <v>78</v>
      </c>
      <c r="D32" s="193" t="s">
        <v>77</v>
      </c>
      <c r="E32" s="193" t="s">
        <v>76</v>
      </c>
      <c r="F32" s="193" t="s">
        <v>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90" t="s">
        <v>204</v>
      </c>
      <c r="B1" s="190" t="s">
        <v>205</v>
      </c>
      <c r="C1" s="190" t="s">
        <v>206</v>
      </c>
      <c r="D1" s="190" t="s">
        <v>207</v>
      </c>
      <c r="E1" s="190" t="s">
        <v>208</v>
      </c>
      <c r="F1" s="191" t="s">
        <v>209</v>
      </c>
    </row>
    <row r="2">
      <c r="A2" s="192">
        <v>1.0</v>
      </c>
      <c r="B2" s="195">
        <v>10.0</v>
      </c>
      <c r="C2" s="195">
        <v>15.0</v>
      </c>
      <c r="D2" s="195">
        <v>5.0</v>
      </c>
      <c r="E2" s="195">
        <v>22.0</v>
      </c>
      <c r="F2" s="195">
        <v>10.0</v>
      </c>
    </row>
    <row r="3">
      <c r="A3" s="192">
        <v>2.0</v>
      </c>
      <c r="B3" s="195">
        <v>9.0</v>
      </c>
      <c r="C3" s="195">
        <v>13.0</v>
      </c>
      <c r="D3" s="195">
        <v>16.0</v>
      </c>
      <c r="E3" s="195">
        <v>24.0</v>
      </c>
      <c r="F3" s="195">
        <v>9.0</v>
      </c>
    </row>
    <row r="4">
      <c r="A4" s="192">
        <v>3.0</v>
      </c>
      <c r="B4" s="195">
        <v>17.0</v>
      </c>
      <c r="C4" s="195">
        <v>22.0</v>
      </c>
      <c r="D4" s="195">
        <v>13.0</v>
      </c>
      <c r="E4" s="195">
        <v>23.0</v>
      </c>
      <c r="F4" s="195">
        <v>17.0</v>
      </c>
    </row>
    <row r="5">
      <c r="A5" s="192">
        <v>4.0</v>
      </c>
      <c r="B5" s="196">
        <v>8.0</v>
      </c>
      <c r="C5" s="195">
        <v>18.0</v>
      </c>
      <c r="D5" s="195">
        <v>3.0</v>
      </c>
      <c r="E5" s="195">
        <v>30.0</v>
      </c>
      <c r="F5" s="196">
        <v>8.0</v>
      </c>
    </row>
    <row r="6">
      <c r="A6" s="192">
        <v>5.0</v>
      </c>
      <c r="B6" s="195">
        <v>1.0</v>
      </c>
      <c r="C6" s="195">
        <v>19.0</v>
      </c>
      <c r="D6" s="195">
        <v>23.0</v>
      </c>
      <c r="E6" s="195">
        <v>16.0</v>
      </c>
      <c r="F6" s="195">
        <v>1.0</v>
      </c>
    </row>
    <row r="7">
      <c r="A7" s="192">
        <v>6.0</v>
      </c>
      <c r="B7" s="195">
        <v>20.0</v>
      </c>
      <c r="C7" s="195">
        <v>1.0</v>
      </c>
      <c r="D7" s="195">
        <v>12.0</v>
      </c>
      <c r="E7" s="195">
        <v>29.0</v>
      </c>
      <c r="F7" s="195">
        <v>20.0</v>
      </c>
    </row>
    <row r="8">
      <c r="A8" s="192">
        <v>7.0</v>
      </c>
      <c r="B8" s="195">
        <v>6.0</v>
      </c>
      <c r="C8" s="195">
        <v>9.0</v>
      </c>
      <c r="D8" s="195">
        <v>4.0</v>
      </c>
      <c r="E8" s="195">
        <v>11.0</v>
      </c>
      <c r="F8" s="195">
        <v>6.0</v>
      </c>
    </row>
    <row r="9">
      <c r="A9" s="192">
        <v>8.0</v>
      </c>
      <c r="B9" s="195">
        <v>28.0</v>
      </c>
      <c r="C9" s="195">
        <v>20.0</v>
      </c>
      <c r="D9" s="195">
        <v>27.0</v>
      </c>
      <c r="E9" s="195">
        <v>18.0</v>
      </c>
      <c r="F9" s="195">
        <v>28.0</v>
      </c>
    </row>
    <row r="10">
      <c r="A10" s="192">
        <v>9.0</v>
      </c>
      <c r="B10" s="195">
        <v>3.0</v>
      </c>
      <c r="C10" s="195">
        <v>11.0</v>
      </c>
      <c r="D10" s="195">
        <v>14.0</v>
      </c>
      <c r="E10" s="195">
        <v>13.0</v>
      </c>
      <c r="F10" s="195">
        <v>3.0</v>
      </c>
    </row>
    <row r="11">
      <c r="A11" s="192">
        <v>10.0</v>
      </c>
      <c r="B11" s="196">
        <v>16.0</v>
      </c>
      <c r="C11" s="195">
        <v>28.0</v>
      </c>
      <c r="D11" s="195">
        <v>11.0</v>
      </c>
      <c r="E11" s="195">
        <v>10.0</v>
      </c>
      <c r="F11" s="196">
        <v>16.0</v>
      </c>
    </row>
    <row r="12">
      <c r="A12" s="192">
        <v>11.0</v>
      </c>
      <c r="B12" s="195">
        <v>5.0</v>
      </c>
      <c r="C12" s="195">
        <v>27.0</v>
      </c>
      <c r="D12" s="195">
        <v>2.0</v>
      </c>
      <c r="E12" s="195">
        <v>7.0</v>
      </c>
      <c r="F12" s="195">
        <v>5.0</v>
      </c>
    </row>
    <row r="13">
      <c r="A13" s="192">
        <v>12.0</v>
      </c>
      <c r="B13" s="195">
        <v>12.0</v>
      </c>
      <c r="C13" s="195">
        <v>14.0</v>
      </c>
      <c r="D13" s="195">
        <v>24.0</v>
      </c>
      <c r="E13" s="195">
        <v>28.0</v>
      </c>
      <c r="F13" s="195">
        <v>12.0</v>
      </c>
    </row>
    <row r="14">
      <c r="A14" s="192">
        <v>13.0</v>
      </c>
      <c r="B14" s="195">
        <v>30.0</v>
      </c>
      <c r="C14" s="195">
        <v>12.0</v>
      </c>
      <c r="D14" s="195">
        <v>30.0</v>
      </c>
      <c r="E14" s="195">
        <v>21.0</v>
      </c>
      <c r="F14" s="195">
        <v>30.0</v>
      </c>
    </row>
    <row r="15">
      <c r="A15" s="192">
        <v>14.0</v>
      </c>
      <c r="B15" s="195">
        <v>18.0</v>
      </c>
      <c r="C15" s="195">
        <v>5.0</v>
      </c>
      <c r="D15" s="195">
        <v>26.0</v>
      </c>
      <c r="E15" s="195">
        <v>1.0</v>
      </c>
      <c r="F15" s="195">
        <v>18.0</v>
      </c>
    </row>
    <row r="16">
      <c r="A16" s="192">
        <v>15.0</v>
      </c>
      <c r="B16" s="195">
        <v>4.0</v>
      </c>
      <c r="C16" s="195">
        <v>4.0</v>
      </c>
      <c r="D16" s="195">
        <v>29.0</v>
      </c>
      <c r="E16" s="195">
        <v>9.0</v>
      </c>
      <c r="F16" s="195">
        <v>4.0</v>
      </c>
    </row>
    <row r="17">
      <c r="A17" s="192" t="s">
        <v>210</v>
      </c>
      <c r="B17" s="194"/>
      <c r="C17" s="194"/>
      <c r="D17" s="194"/>
      <c r="E17" s="194"/>
      <c r="F17" s="194"/>
    </row>
    <row r="18">
      <c r="A18" s="192">
        <v>16.0</v>
      </c>
      <c r="B18" s="195">
        <v>22.0</v>
      </c>
      <c r="C18" s="195">
        <v>16.0</v>
      </c>
      <c r="D18" s="195">
        <v>15.0</v>
      </c>
      <c r="E18" s="195">
        <v>15.0</v>
      </c>
      <c r="F18" s="195">
        <v>22.0</v>
      </c>
    </row>
    <row r="19">
      <c r="A19" s="192">
        <v>17.0</v>
      </c>
      <c r="B19" s="195">
        <v>24.0</v>
      </c>
      <c r="C19" s="195">
        <v>29.0</v>
      </c>
      <c r="D19" s="195">
        <v>1.0</v>
      </c>
      <c r="E19" s="195">
        <v>3.0</v>
      </c>
      <c r="F19" s="195">
        <v>24.0</v>
      </c>
    </row>
    <row r="20">
      <c r="A20" s="192">
        <v>18.0</v>
      </c>
      <c r="B20" s="195">
        <v>15.0</v>
      </c>
      <c r="C20" s="195">
        <v>24.0</v>
      </c>
      <c r="D20" s="195">
        <v>18.0</v>
      </c>
      <c r="E20" s="195">
        <v>14.0</v>
      </c>
      <c r="F20" s="195">
        <v>15.0</v>
      </c>
    </row>
    <row r="21">
      <c r="A21" s="192">
        <v>19.0</v>
      </c>
      <c r="B21" s="195">
        <v>14.0</v>
      </c>
      <c r="C21" s="195">
        <v>3.0</v>
      </c>
      <c r="D21" s="195">
        <v>25.0</v>
      </c>
      <c r="E21" s="195">
        <v>27.0</v>
      </c>
      <c r="F21" s="195">
        <v>14.0</v>
      </c>
    </row>
    <row r="22">
      <c r="A22" s="192">
        <v>20.0</v>
      </c>
      <c r="B22" s="195">
        <v>19.0</v>
      </c>
      <c r="C22" s="195">
        <v>21.0</v>
      </c>
      <c r="D22" s="195">
        <v>28.0</v>
      </c>
      <c r="E22" s="195">
        <v>2.0</v>
      </c>
      <c r="F22" s="195">
        <v>19.0</v>
      </c>
    </row>
    <row r="23">
      <c r="A23" s="192">
        <v>21.0</v>
      </c>
      <c r="B23" s="195">
        <v>2.0</v>
      </c>
      <c r="C23" s="195">
        <v>10.0</v>
      </c>
      <c r="D23" s="195">
        <v>7.0</v>
      </c>
      <c r="E23" s="195">
        <v>4.0</v>
      </c>
      <c r="F23" s="195">
        <v>2.0</v>
      </c>
    </row>
    <row r="24">
      <c r="A24" s="192">
        <v>22.0</v>
      </c>
      <c r="B24" s="195">
        <v>21.0</v>
      </c>
      <c r="C24" s="195">
        <v>26.0</v>
      </c>
      <c r="D24" s="195">
        <v>20.0</v>
      </c>
      <c r="E24" s="195">
        <v>5.0</v>
      </c>
      <c r="F24" s="195">
        <v>21.0</v>
      </c>
    </row>
    <row r="25">
      <c r="A25" s="192">
        <v>23.0</v>
      </c>
      <c r="B25" s="195">
        <v>25.0</v>
      </c>
      <c r="C25" s="195">
        <v>30.0</v>
      </c>
      <c r="D25" s="195">
        <v>9.0</v>
      </c>
      <c r="E25" s="195">
        <v>17.0</v>
      </c>
      <c r="F25" s="195">
        <v>25.0</v>
      </c>
    </row>
    <row r="26">
      <c r="A26" s="192">
        <v>24.0</v>
      </c>
      <c r="B26" s="195">
        <v>11.0</v>
      </c>
      <c r="C26" s="195">
        <v>7.0</v>
      </c>
      <c r="D26" s="195">
        <v>8.0</v>
      </c>
      <c r="E26" s="195">
        <v>26.0</v>
      </c>
      <c r="F26" s="195">
        <v>11.0</v>
      </c>
    </row>
    <row r="27">
      <c r="A27" s="192">
        <v>25.0</v>
      </c>
      <c r="B27" s="195">
        <v>13.0</v>
      </c>
      <c r="C27" s="195">
        <v>25.0</v>
      </c>
      <c r="D27" s="195">
        <v>19.0</v>
      </c>
      <c r="E27" s="195">
        <v>20.0</v>
      </c>
      <c r="F27" s="195">
        <v>13.0</v>
      </c>
    </row>
    <row r="28">
      <c r="A28" s="192">
        <v>26.0</v>
      </c>
      <c r="B28" s="195">
        <v>27.0</v>
      </c>
      <c r="C28" s="195">
        <v>6.0</v>
      </c>
      <c r="D28" s="195">
        <v>10.0</v>
      </c>
      <c r="E28" s="195">
        <v>8.0</v>
      </c>
      <c r="F28" s="195">
        <v>27.0</v>
      </c>
    </row>
    <row r="29">
      <c r="A29" s="192">
        <v>27.0</v>
      </c>
      <c r="B29" s="195">
        <v>29.0</v>
      </c>
      <c r="C29" s="195">
        <v>2.0</v>
      </c>
      <c r="D29" s="195">
        <v>21.0</v>
      </c>
      <c r="E29" s="195">
        <v>19.0</v>
      </c>
      <c r="F29" s="195">
        <v>29.0</v>
      </c>
    </row>
    <row r="30">
      <c r="A30" s="192">
        <v>28.0</v>
      </c>
      <c r="B30" s="195">
        <v>23.0</v>
      </c>
      <c r="C30" s="195">
        <v>23.0</v>
      </c>
      <c r="D30" s="195">
        <v>17.0</v>
      </c>
      <c r="E30" s="195">
        <v>6.0</v>
      </c>
      <c r="F30" s="195">
        <v>23.0</v>
      </c>
    </row>
    <row r="31">
      <c r="A31" s="192">
        <v>29.0</v>
      </c>
      <c r="B31" s="195">
        <v>7.0</v>
      </c>
      <c r="C31" s="195">
        <v>17.0</v>
      </c>
      <c r="D31" s="195">
        <v>22.0</v>
      </c>
      <c r="E31" s="195">
        <v>12.0</v>
      </c>
      <c r="F31" s="195">
        <v>7.0</v>
      </c>
    </row>
    <row r="32">
      <c r="A32" s="192">
        <v>30.0</v>
      </c>
      <c r="B32" s="195">
        <v>26.0</v>
      </c>
      <c r="C32" s="195">
        <v>8.0</v>
      </c>
      <c r="D32" s="195">
        <v>6.0</v>
      </c>
      <c r="E32" s="195">
        <v>25.0</v>
      </c>
      <c r="F32" s="195">
        <v>26.0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39" t="s">
        <v>101</v>
      </c>
      <c r="B1" s="39" t="s">
        <v>102</v>
      </c>
      <c r="C1" s="39" t="s">
        <v>211</v>
      </c>
      <c r="D1" s="39" t="s">
        <v>104</v>
      </c>
      <c r="E1" s="39" t="s">
        <v>105</v>
      </c>
      <c r="F1" s="39" t="s">
        <v>106</v>
      </c>
      <c r="G1" s="39" t="s">
        <v>107</v>
      </c>
      <c r="H1" s="39" t="s">
        <v>108</v>
      </c>
      <c r="I1" s="39" t="s">
        <v>109</v>
      </c>
      <c r="J1" s="39" t="s">
        <v>110</v>
      </c>
      <c r="K1" s="39" t="s">
        <v>111</v>
      </c>
      <c r="L1" s="39" t="s">
        <v>112</v>
      </c>
      <c r="M1" s="39" t="s">
        <v>113</v>
      </c>
      <c r="N1" s="39" t="s">
        <v>114</v>
      </c>
      <c r="O1" s="39" t="s">
        <v>115</v>
      </c>
      <c r="P1" s="39" t="s">
        <v>116</v>
      </c>
      <c r="Q1" s="39" t="s">
        <v>117</v>
      </c>
      <c r="R1" s="39" t="s">
        <v>118</v>
      </c>
      <c r="S1" s="39" t="s">
        <v>120</v>
      </c>
      <c r="T1" s="39" t="s">
        <v>121</v>
      </c>
      <c r="U1" s="39" t="s">
        <v>122</v>
      </c>
      <c r="V1" s="39" t="s">
        <v>123</v>
      </c>
      <c r="W1" s="39" t="s">
        <v>124</v>
      </c>
      <c r="X1" s="39" t="s">
        <v>125</v>
      </c>
      <c r="Y1" s="39" t="s">
        <v>126</v>
      </c>
      <c r="Z1" s="39" t="s">
        <v>127</v>
      </c>
      <c r="AA1" s="39" t="s">
        <v>128</v>
      </c>
      <c r="AB1" s="39" t="s">
        <v>129</v>
      </c>
      <c r="AC1" s="39" t="s">
        <v>130</v>
      </c>
      <c r="AD1" s="39" t="s">
        <v>131</v>
      </c>
      <c r="AE1" s="39" t="s">
        <v>132</v>
      </c>
      <c r="AF1" s="39" t="s">
        <v>133</v>
      </c>
      <c r="AG1" s="39" t="s">
        <v>134</v>
      </c>
    </row>
    <row r="2">
      <c r="A2" s="2" t="s">
        <v>30</v>
      </c>
      <c r="B2" s="15">
        <v>1.0</v>
      </c>
      <c r="C2" s="15">
        <v>2.0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77</v>
      </c>
      <c r="I2" s="2" t="s">
        <v>79</v>
      </c>
      <c r="J2" s="2" t="s">
        <v>77</v>
      </c>
      <c r="K2" s="2" t="s">
        <v>78</v>
      </c>
      <c r="L2" s="2" t="s">
        <v>76</v>
      </c>
      <c r="M2" s="2" t="s">
        <v>79</v>
      </c>
      <c r="N2" s="2" t="s">
        <v>76</v>
      </c>
      <c r="O2" s="2" t="s">
        <v>75</v>
      </c>
      <c r="P2" s="2" t="s">
        <v>79</v>
      </c>
      <c r="Q2" s="2" t="s">
        <v>77</v>
      </c>
      <c r="R2" s="2" t="s">
        <v>76</v>
      </c>
      <c r="S2" s="2" t="s">
        <v>77</v>
      </c>
      <c r="T2" s="2" t="s">
        <v>79</v>
      </c>
      <c r="U2" s="2" t="s">
        <v>75</v>
      </c>
      <c r="V2" s="2" t="s">
        <v>75</v>
      </c>
      <c r="W2" s="2" t="s">
        <v>78</v>
      </c>
      <c r="X2" s="2" t="s">
        <v>79</v>
      </c>
      <c r="Y2" s="2" t="s">
        <v>77</v>
      </c>
      <c r="Z2" s="2" t="s">
        <v>79</v>
      </c>
      <c r="AA2" s="2" t="s">
        <v>77</v>
      </c>
      <c r="AB2" s="2" t="s">
        <v>78</v>
      </c>
      <c r="AC2" s="2" t="s">
        <v>79</v>
      </c>
      <c r="AD2" s="2" t="s">
        <v>75</v>
      </c>
      <c r="AE2" s="2" t="s">
        <v>78</v>
      </c>
      <c r="AF2" s="2" t="s">
        <v>78</v>
      </c>
      <c r="AG2" s="2" t="s">
        <v>77</v>
      </c>
    </row>
    <row r="3">
      <c r="A3" s="2" t="s">
        <v>32</v>
      </c>
      <c r="B3" s="15">
        <v>1.0</v>
      </c>
      <c r="C3" s="15">
        <v>2.0</v>
      </c>
      <c r="D3" s="2" t="s">
        <v>76</v>
      </c>
      <c r="E3" s="2" t="s">
        <v>75</v>
      </c>
      <c r="F3" s="2" t="s">
        <v>77</v>
      </c>
      <c r="G3" s="2" t="s">
        <v>78</v>
      </c>
      <c r="H3" s="2" t="s">
        <v>77</v>
      </c>
      <c r="I3" s="2" t="s">
        <v>77</v>
      </c>
      <c r="J3" s="2" t="s">
        <v>79</v>
      </c>
      <c r="K3" s="2" t="s">
        <v>78</v>
      </c>
      <c r="L3" s="2" t="s">
        <v>75</v>
      </c>
      <c r="M3" s="2" t="s">
        <v>79</v>
      </c>
      <c r="N3" s="2" t="s">
        <v>76</v>
      </c>
      <c r="O3" s="2" t="s">
        <v>77</v>
      </c>
      <c r="P3" s="2" t="s">
        <v>76</v>
      </c>
      <c r="Q3" s="2" t="s">
        <v>79</v>
      </c>
      <c r="R3" s="2" t="s">
        <v>76</v>
      </c>
      <c r="S3" s="2" t="s">
        <v>78</v>
      </c>
      <c r="T3" s="2" t="s">
        <v>78</v>
      </c>
      <c r="U3" s="2" t="s">
        <v>76</v>
      </c>
      <c r="V3" s="2" t="s">
        <v>76</v>
      </c>
      <c r="W3" s="2" t="s">
        <v>79</v>
      </c>
      <c r="X3" s="2" t="s">
        <v>77</v>
      </c>
      <c r="Y3" s="2" t="s">
        <v>77</v>
      </c>
      <c r="Z3" s="2" t="s">
        <v>76</v>
      </c>
      <c r="AA3" s="2" t="s">
        <v>79</v>
      </c>
      <c r="AB3" s="2" t="s">
        <v>75</v>
      </c>
      <c r="AC3" s="2" t="s">
        <v>77</v>
      </c>
      <c r="AD3" s="2" t="s">
        <v>76</v>
      </c>
      <c r="AE3" s="2" t="s">
        <v>77</v>
      </c>
      <c r="AF3" s="2" t="s">
        <v>78</v>
      </c>
      <c r="AG3" s="2" t="s">
        <v>77</v>
      </c>
    </row>
    <row r="4">
      <c r="A4" s="2" t="s">
        <v>34</v>
      </c>
      <c r="B4" s="15">
        <v>1.0</v>
      </c>
      <c r="C4" s="15">
        <v>2.0</v>
      </c>
      <c r="D4" s="2" t="s">
        <v>75</v>
      </c>
      <c r="E4" s="2" t="s">
        <v>76</v>
      </c>
      <c r="F4" s="2" t="s">
        <v>77</v>
      </c>
      <c r="G4" s="2" t="s">
        <v>79</v>
      </c>
      <c r="H4" s="2" t="s">
        <v>77</v>
      </c>
      <c r="I4" s="2" t="s">
        <v>78</v>
      </c>
      <c r="J4" s="2" t="s">
        <v>77</v>
      </c>
      <c r="K4" s="2" t="s">
        <v>78</v>
      </c>
      <c r="L4" s="2" t="s">
        <v>79</v>
      </c>
      <c r="M4" s="2" t="s">
        <v>77</v>
      </c>
      <c r="N4" s="2" t="s">
        <v>76</v>
      </c>
      <c r="O4" s="2" t="s">
        <v>78</v>
      </c>
      <c r="P4" s="2" t="s">
        <v>75</v>
      </c>
      <c r="Q4" s="2" t="s">
        <v>75</v>
      </c>
      <c r="R4" s="2" t="s">
        <v>76</v>
      </c>
      <c r="S4" s="2" t="s">
        <v>79</v>
      </c>
      <c r="T4" s="2" t="s">
        <v>78</v>
      </c>
      <c r="U4" s="2" t="s">
        <v>76</v>
      </c>
      <c r="V4" s="2" t="s">
        <v>75</v>
      </c>
      <c r="W4" s="2" t="s">
        <v>78</v>
      </c>
      <c r="X4" s="2" t="s">
        <v>77</v>
      </c>
      <c r="Y4" s="2" t="s">
        <v>77</v>
      </c>
      <c r="Z4" s="2" t="s">
        <v>78</v>
      </c>
      <c r="AA4" s="2" t="s">
        <v>77</v>
      </c>
      <c r="AB4" s="2" t="s">
        <v>75</v>
      </c>
      <c r="AC4" s="2" t="s">
        <v>77</v>
      </c>
      <c r="AD4" s="2" t="s">
        <v>79</v>
      </c>
      <c r="AE4" s="2" t="s">
        <v>79</v>
      </c>
      <c r="AF4" s="2" t="s">
        <v>75</v>
      </c>
      <c r="AG4" s="2" t="s">
        <v>79</v>
      </c>
    </row>
    <row r="5">
      <c r="A5" s="2" t="s">
        <v>35</v>
      </c>
      <c r="B5" s="15">
        <v>1.0</v>
      </c>
      <c r="C5" s="15">
        <v>2.0</v>
      </c>
      <c r="D5" s="2" t="s">
        <v>78</v>
      </c>
      <c r="E5" s="2" t="s">
        <v>78</v>
      </c>
      <c r="F5" s="2" t="s">
        <v>77</v>
      </c>
      <c r="G5" s="2" t="s">
        <v>75</v>
      </c>
      <c r="H5" s="2" t="s">
        <v>76</v>
      </c>
      <c r="I5" s="2" t="s">
        <v>77</v>
      </c>
      <c r="J5" s="2" t="s">
        <v>75</v>
      </c>
      <c r="K5" s="2" t="s">
        <v>79</v>
      </c>
      <c r="L5" s="2" t="s">
        <v>76</v>
      </c>
      <c r="M5" s="2" t="s">
        <v>79</v>
      </c>
      <c r="N5" s="2" t="s">
        <v>76</v>
      </c>
      <c r="O5" s="2" t="s">
        <v>77</v>
      </c>
      <c r="P5" s="2" t="s">
        <v>78</v>
      </c>
      <c r="Q5" s="2" t="s">
        <v>79</v>
      </c>
      <c r="R5" s="2" t="s">
        <v>75</v>
      </c>
      <c r="S5" s="2" t="s">
        <v>77</v>
      </c>
      <c r="T5" s="2" t="s">
        <v>77</v>
      </c>
      <c r="U5" s="2" t="s">
        <v>79</v>
      </c>
      <c r="V5" s="2" t="s">
        <v>79</v>
      </c>
      <c r="W5" s="2" t="s">
        <v>77</v>
      </c>
      <c r="X5" s="2" t="s">
        <v>76</v>
      </c>
      <c r="Y5" s="2" t="s">
        <v>77</v>
      </c>
      <c r="Z5" s="2" t="s">
        <v>76</v>
      </c>
      <c r="AA5" s="2" t="s">
        <v>77</v>
      </c>
      <c r="AB5" s="2" t="s">
        <v>78</v>
      </c>
      <c r="AC5" s="2" t="s">
        <v>77</v>
      </c>
      <c r="AD5" s="2" t="s">
        <v>75</v>
      </c>
      <c r="AE5" s="2" t="s">
        <v>77</v>
      </c>
      <c r="AF5" s="2" t="s">
        <v>77</v>
      </c>
      <c r="AG5" s="2" t="s">
        <v>77</v>
      </c>
    </row>
    <row r="6">
      <c r="A6" s="2" t="s">
        <v>36</v>
      </c>
      <c r="B6" s="15">
        <v>1.0</v>
      </c>
      <c r="C6" s="15">
        <v>2.0</v>
      </c>
      <c r="D6" s="2" t="s">
        <v>76</v>
      </c>
      <c r="E6" s="2" t="s">
        <v>75</v>
      </c>
      <c r="F6" s="2" t="s">
        <v>77</v>
      </c>
      <c r="G6" s="2" t="s">
        <v>75</v>
      </c>
      <c r="H6" s="2" t="s">
        <v>79</v>
      </c>
      <c r="I6" s="2" t="s">
        <v>77</v>
      </c>
      <c r="J6" s="2" t="s">
        <v>79</v>
      </c>
      <c r="K6" s="2" t="s">
        <v>77</v>
      </c>
      <c r="L6" s="2" t="s">
        <v>78</v>
      </c>
      <c r="M6" s="2" t="s">
        <v>79</v>
      </c>
      <c r="N6" s="2" t="s">
        <v>76</v>
      </c>
      <c r="O6" s="2" t="s">
        <v>77</v>
      </c>
      <c r="P6" s="2" t="s">
        <v>75</v>
      </c>
      <c r="Q6" s="2" t="s">
        <v>77</v>
      </c>
      <c r="R6" s="2" t="s">
        <v>76</v>
      </c>
      <c r="S6" s="2" t="s">
        <v>77</v>
      </c>
      <c r="T6" s="2" t="s">
        <v>79</v>
      </c>
      <c r="U6" s="2" t="s">
        <v>75</v>
      </c>
      <c r="V6" s="2" t="s">
        <v>78</v>
      </c>
      <c r="W6" s="2" t="s">
        <v>77</v>
      </c>
      <c r="X6" s="2" t="s">
        <v>77</v>
      </c>
      <c r="Y6" s="2" t="s">
        <v>79</v>
      </c>
      <c r="Z6" s="2" t="s">
        <v>79</v>
      </c>
      <c r="AA6" s="2" t="s">
        <v>78</v>
      </c>
      <c r="AB6" s="2" t="s">
        <v>75</v>
      </c>
      <c r="AC6" s="2" t="s">
        <v>79</v>
      </c>
      <c r="AD6" s="2" t="s">
        <v>78</v>
      </c>
      <c r="AE6" s="2" t="s">
        <v>79</v>
      </c>
      <c r="AF6" s="2" t="s">
        <v>78</v>
      </c>
      <c r="AG6" s="2" t="s">
        <v>75</v>
      </c>
    </row>
    <row r="7">
      <c r="A7" s="2" t="s">
        <v>37</v>
      </c>
      <c r="B7" s="15">
        <v>1.0</v>
      </c>
      <c r="C7" s="15">
        <v>2.0</v>
      </c>
      <c r="D7" s="2" t="s">
        <v>75</v>
      </c>
      <c r="E7" s="2" t="s">
        <v>78</v>
      </c>
      <c r="F7" s="2" t="s">
        <v>77</v>
      </c>
      <c r="G7" s="2" t="s">
        <v>79</v>
      </c>
      <c r="H7" s="2" t="s">
        <v>78</v>
      </c>
      <c r="I7" s="2" t="s">
        <v>79</v>
      </c>
      <c r="J7" s="2" t="s">
        <v>77</v>
      </c>
      <c r="K7" s="2" t="s">
        <v>78</v>
      </c>
      <c r="L7" s="2" t="s">
        <v>77</v>
      </c>
      <c r="M7" s="2" t="s">
        <v>79</v>
      </c>
      <c r="N7" s="2" t="s">
        <v>76</v>
      </c>
      <c r="O7" s="2" t="s">
        <v>79</v>
      </c>
      <c r="P7" s="2" t="s">
        <v>76</v>
      </c>
      <c r="Q7" s="2" t="s">
        <v>77</v>
      </c>
      <c r="R7" s="2" t="s">
        <v>75</v>
      </c>
      <c r="S7" s="2" t="s">
        <v>77</v>
      </c>
      <c r="T7" s="2" t="s">
        <v>78</v>
      </c>
      <c r="U7" s="2" t="s">
        <v>75</v>
      </c>
      <c r="V7" s="2" t="s">
        <v>79</v>
      </c>
      <c r="W7" s="2" t="s">
        <v>77</v>
      </c>
      <c r="X7" s="2" t="s">
        <v>78</v>
      </c>
      <c r="Y7" s="2" t="s">
        <v>77</v>
      </c>
      <c r="Z7" s="2" t="s">
        <v>78</v>
      </c>
      <c r="AA7" s="2" t="s">
        <v>76</v>
      </c>
      <c r="AB7" s="2" t="s">
        <v>75</v>
      </c>
      <c r="AC7" s="2" t="s">
        <v>79</v>
      </c>
      <c r="AD7" s="2" t="s">
        <v>76</v>
      </c>
      <c r="AE7" s="2" t="s">
        <v>75</v>
      </c>
      <c r="AF7" s="2" t="s">
        <v>77</v>
      </c>
      <c r="AG7" s="2" t="s">
        <v>78</v>
      </c>
    </row>
    <row r="8">
      <c r="A8" s="2" t="s">
        <v>38</v>
      </c>
      <c r="B8" s="15">
        <v>1.0</v>
      </c>
      <c r="C8" s="15">
        <v>1.0</v>
      </c>
      <c r="D8" s="2" t="s">
        <v>79</v>
      </c>
      <c r="E8" s="2" t="s">
        <v>79</v>
      </c>
      <c r="F8" s="2" t="s">
        <v>77</v>
      </c>
      <c r="G8" s="2" t="s">
        <v>77</v>
      </c>
      <c r="H8" s="2" t="s">
        <v>78</v>
      </c>
      <c r="I8" s="2" t="s">
        <v>77</v>
      </c>
      <c r="J8" s="2" t="s">
        <v>77</v>
      </c>
      <c r="K8" s="2" t="s">
        <v>78</v>
      </c>
      <c r="L8" s="2" t="s">
        <v>79</v>
      </c>
      <c r="M8" s="2" t="s">
        <v>77</v>
      </c>
      <c r="N8" s="2" t="s">
        <v>76</v>
      </c>
      <c r="O8" s="2" t="s">
        <v>79</v>
      </c>
      <c r="P8" s="2" t="s">
        <v>78</v>
      </c>
      <c r="Q8" s="2" t="s">
        <v>79</v>
      </c>
      <c r="R8" s="2" t="s">
        <v>76</v>
      </c>
      <c r="S8" s="2" t="s">
        <v>77</v>
      </c>
      <c r="T8" s="2" t="s">
        <v>78</v>
      </c>
      <c r="U8" s="2" t="s">
        <v>76</v>
      </c>
      <c r="V8" s="2" t="s">
        <v>76</v>
      </c>
      <c r="W8" s="2" t="s">
        <v>75</v>
      </c>
      <c r="X8" s="2" t="s">
        <v>75</v>
      </c>
      <c r="Y8" s="2" t="s">
        <v>77</v>
      </c>
      <c r="Z8" s="2" t="s">
        <v>79</v>
      </c>
      <c r="AA8" s="2" t="s">
        <v>78</v>
      </c>
      <c r="AB8" s="2" t="s">
        <v>78</v>
      </c>
      <c r="AC8" s="2" t="s">
        <v>77</v>
      </c>
      <c r="AD8" s="2" t="s">
        <v>79</v>
      </c>
      <c r="AE8" s="2" t="s">
        <v>77</v>
      </c>
      <c r="AF8" s="2" t="s">
        <v>78</v>
      </c>
      <c r="AG8" s="2" t="s">
        <v>77</v>
      </c>
    </row>
    <row r="9">
      <c r="A9" s="2" t="s">
        <v>39</v>
      </c>
      <c r="B9" s="15">
        <v>1.0</v>
      </c>
      <c r="C9" s="15">
        <v>1.0</v>
      </c>
      <c r="D9" s="2" t="s">
        <v>76</v>
      </c>
      <c r="E9" s="2" t="s">
        <v>75</v>
      </c>
      <c r="F9" s="2" t="s">
        <v>77</v>
      </c>
      <c r="G9" s="2" t="s">
        <v>76</v>
      </c>
      <c r="H9" s="2" t="s">
        <v>77</v>
      </c>
      <c r="I9" s="2" t="s">
        <v>78</v>
      </c>
      <c r="J9" s="2" t="s">
        <v>77</v>
      </c>
      <c r="K9" s="2" t="s">
        <v>77</v>
      </c>
      <c r="L9" s="2" t="s">
        <v>79</v>
      </c>
      <c r="M9" s="2" t="s">
        <v>78</v>
      </c>
      <c r="N9" s="2" t="s">
        <v>76</v>
      </c>
      <c r="O9" s="2" t="s">
        <v>77</v>
      </c>
      <c r="P9" s="2" t="s">
        <v>76</v>
      </c>
      <c r="Q9" s="2" t="s">
        <v>75</v>
      </c>
      <c r="R9" s="2" t="s">
        <v>76</v>
      </c>
      <c r="S9" s="2" t="s">
        <v>79</v>
      </c>
      <c r="T9" s="2" t="s">
        <v>75</v>
      </c>
      <c r="U9" s="2" t="s">
        <v>78</v>
      </c>
      <c r="V9" s="2" t="s">
        <v>78</v>
      </c>
      <c r="W9" s="2" t="s">
        <v>79</v>
      </c>
      <c r="X9" s="2" t="s">
        <v>75</v>
      </c>
      <c r="Y9" s="2" t="s">
        <v>79</v>
      </c>
      <c r="Z9" s="2" t="s">
        <v>78</v>
      </c>
      <c r="AA9" s="2" t="s">
        <v>79</v>
      </c>
      <c r="AB9" s="2" t="s">
        <v>78</v>
      </c>
      <c r="AC9" s="2" t="s">
        <v>75</v>
      </c>
      <c r="AD9" s="2" t="s">
        <v>78</v>
      </c>
      <c r="AE9" s="2" t="s">
        <v>75</v>
      </c>
      <c r="AF9" s="2" t="s">
        <v>76</v>
      </c>
      <c r="AG9" s="2" t="s">
        <v>79</v>
      </c>
    </row>
    <row r="10">
      <c r="A10" s="2" t="s">
        <v>40</v>
      </c>
      <c r="B10" s="15">
        <v>1.0</v>
      </c>
      <c r="C10" s="15">
        <v>1.0</v>
      </c>
      <c r="D10" s="2" t="s">
        <v>75</v>
      </c>
      <c r="E10" s="2" t="s">
        <v>79</v>
      </c>
      <c r="F10" s="2" t="s">
        <v>78</v>
      </c>
      <c r="G10" s="2" t="s">
        <v>78</v>
      </c>
      <c r="H10" s="2" t="s">
        <v>77</v>
      </c>
      <c r="I10" s="2" t="s">
        <v>78</v>
      </c>
      <c r="J10" s="2" t="s">
        <v>77</v>
      </c>
      <c r="K10" s="2" t="s">
        <v>77</v>
      </c>
      <c r="L10" s="2" t="s">
        <v>79</v>
      </c>
      <c r="M10" s="2" t="s">
        <v>79</v>
      </c>
      <c r="N10" s="2" t="s">
        <v>78</v>
      </c>
      <c r="O10" s="2" t="s">
        <v>79</v>
      </c>
      <c r="P10" s="2" t="s">
        <v>79</v>
      </c>
      <c r="Q10" s="2" t="s">
        <v>77</v>
      </c>
      <c r="R10" s="2" t="s">
        <v>75</v>
      </c>
      <c r="S10" s="2" t="s">
        <v>79</v>
      </c>
      <c r="T10" s="2" t="s">
        <v>79</v>
      </c>
      <c r="U10" s="2" t="s">
        <v>75</v>
      </c>
      <c r="V10" s="2" t="s">
        <v>78</v>
      </c>
      <c r="W10" s="2" t="s">
        <v>79</v>
      </c>
      <c r="X10" s="2" t="s">
        <v>77</v>
      </c>
      <c r="Y10" s="2" t="s">
        <v>79</v>
      </c>
      <c r="Z10" s="2" t="s">
        <v>77</v>
      </c>
      <c r="AA10" s="2" t="s">
        <v>77</v>
      </c>
      <c r="AB10" s="2" t="s">
        <v>78</v>
      </c>
      <c r="AC10" s="2" t="s">
        <v>75</v>
      </c>
      <c r="AD10" s="2" t="s">
        <v>78</v>
      </c>
      <c r="AE10" s="2" t="s">
        <v>76</v>
      </c>
      <c r="AF10" s="2" t="s">
        <v>75</v>
      </c>
      <c r="AG10" s="2" t="s">
        <v>76</v>
      </c>
    </row>
    <row r="11">
      <c r="A11" s="2" t="s">
        <v>41</v>
      </c>
      <c r="B11" s="15">
        <v>1.0</v>
      </c>
      <c r="C11" s="15">
        <v>1.0</v>
      </c>
      <c r="D11" s="2" t="s">
        <v>76</v>
      </c>
      <c r="E11" s="2" t="s">
        <v>75</v>
      </c>
      <c r="F11" s="2" t="s">
        <v>79</v>
      </c>
      <c r="G11" s="2" t="s">
        <v>75</v>
      </c>
      <c r="H11" s="2" t="s">
        <v>77</v>
      </c>
      <c r="I11" s="2" t="s">
        <v>79</v>
      </c>
      <c r="J11" s="2" t="s">
        <v>77</v>
      </c>
      <c r="K11" s="2" t="s">
        <v>77</v>
      </c>
      <c r="L11" s="2" t="s">
        <v>78</v>
      </c>
      <c r="M11" s="2" t="s">
        <v>79</v>
      </c>
      <c r="N11" s="2" t="s">
        <v>76</v>
      </c>
      <c r="O11" s="2" t="s">
        <v>78</v>
      </c>
      <c r="P11" s="2" t="s">
        <v>76</v>
      </c>
      <c r="Q11" s="2" t="s">
        <v>79</v>
      </c>
      <c r="R11" s="2" t="s">
        <v>76</v>
      </c>
      <c r="S11" s="2" t="s">
        <v>77</v>
      </c>
      <c r="T11" s="2" t="s">
        <v>78</v>
      </c>
      <c r="U11" s="2" t="s">
        <v>76</v>
      </c>
      <c r="V11" s="2" t="s">
        <v>76</v>
      </c>
      <c r="W11" s="2" t="s">
        <v>79</v>
      </c>
      <c r="X11" s="2" t="s">
        <v>79</v>
      </c>
      <c r="Y11" s="2" t="s">
        <v>77</v>
      </c>
      <c r="Z11" s="2" t="s">
        <v>79</v>
      </c>
      <c r="AA11" s="2" t="s">
        <v>77</v>
      </c>
      <c r="AB11" s="2" t="s">
        <v>75</v>
      </c>
      <c r="AC11" s="2" t="s">
        <v>78</v>
      </c>
      <c r="AD11" s="2" t="s">
        <v>78</v>
      </c>
      <c r="AE11" s="2" t="s">
        <v>78</v>
      </c>
      <c r="AF11" s="2" t="s">
        <v>79</v>
      </c>
      <c r="AG11" s="2" t="s">
        <v>77</v>
      </c>
    </row>
    <row r="12">
      <c r="A12" s="2" t="s">
        <v>42</v>
      </c>
      <c r="B12" s="15">
        <v>1.0</v>
      </c>
      <c r="C12" s="15">
        <v>1.0</v>
      </c>
      <c r="D12" s="2" t="s">
        <v>77</v>
      </c>
      <c r="E12" s="2" t="s">
        <v>79</v>
      </c>
      <c r="F12" s="2" t="s">
        <v>76</v>
      </c>
      <c r="G12" s="2" t="s">
        <v>77</v>
      </c>
      <c r="H12" s="2" t="s">
        <v>75</v>
      </c>
      <c r="I12" s="2" t="s">
        <v>79</v>
      </c>
      <c r="J12" s="2" t="s">
        <v>76</v>
      </c>
      <c r="K12" s="2" t="s">
        <v>78</v>
      </c>
      <c r="L12" s="2" t="s">
        <v>77</v>
      </c>
      <c r="M12" s="2" t="s">
        <v>76</v>
      </c>
      <c r="N12" s="2" t="s">
        <v>79</v>
      </c>
      <c r="O12" s="2" t="s">
        <v>77</v>
      </c>
      <c r="P12" s="2" t="s">
        <v>78</v>
      </c>
      <c r="Q12" s="2" t="s">
        <v>78</v>
      </c>
      <c r="R12" s="2" t="s">
        <v>76</v>
      </c>
      <c r="S12" s="2" t="s">
        <v>77</v>
      </c>
      <c r="T12" s="2" t="s">
        <v>79</v>
      </c>
      <c r="U12" s="2" t="s">
        <v>76</v>
      </c>
      <c r="V12" s="2" t="s">
        <v>76</v>
      </c>
      <c r="W12" s="2" t="s">
        <v>77</v>
      </c>
      <c r="X12" s="2" t="s">
        <v>78</v>
      </c>
      <c r="Y12" s="2" t="s">
        <v>79</v>
      </c>
      <c r="Z12" s="2" t="s">
        <v>75</v>
      </c>
      <c r="AA12" s="2" t="s">
        <v>77</v>
      </c>
      <c r="AB12" s="2" t="s">
        <v>76</v>
      </c>
      <c r="AC12" s="2" t="s">
        <v>77</v>
      </c>
      <c r="AD12" s="2" t="s">
        <v>78</v>
      </c>
      <c r="AE12" s="2" t="s">
        <v>79</v>
      </c>
      <c r="AF12" s="2" t="s">
        <v>77</v>
      </c>
      <c r="AG12" s="2" t="s">
        <v>79</v>
      </c>
    </row>
    <row r="13">
      <c r="A13" s="2" t="s">
        <v>43</v>
      </c>
      <c r="B13" s="15">
        <v>1.0</v>
      </c>
      <c r="C13" s="15">
        <v>1.0</v>
      </c>
      <c r="D13" s="2" t="s">
        <v>76</v>
      </c>
      <c r="E13" s="2" t="s">
        <v>75</v>
      </c>
      <c r="F13" s="2" t="s">
        <v>79</v>
      </c>
      <c r="G13" s="2" t="s">
        <v>78</v>
      </c>
      <c r="H13" s="2" t="s">
        <v>77</v>
      </c>
      <c r="I13" s="2" t="s">
        <v>79</v>
      </c>
      <c r="J13" s="2" t="s">
        <v>79</v>
      </c>
      <c r="K13" s="2" t="s">
        <v>77</v>
      </c>
      <c r="L13" s="2" t="s">
        <v>78</v>
      </c>
      <c r="M13" s="2" t="s">
        <v>77</v>
      </c>
      <c r="N13" s="2" t="s">
        <v>76</v>
      </c>
      <c r="O13" s="2" t="s">
        <v>77</v>
      </c>
      <c r="P13" s="2" t="s">
        <v>75</v>
      </c>
      <c r="Q13" s="2" t="s">
        <v>79</v>
      </c>
      <c r="R13" s="2" t="s">
        <v>76</v>
      </c>
      <c r="S13" s="2" t="s">
        <v>77</v>
      </c>
      <c r="T13" s="2" t="s">
        <v>79</v>
      </c>
      <c r="U13" s="2" t="s">
        <v>76</v>
      </c>
      <c r="V13" s="2" t="s">
        <v>75</v>
      </c>
      <c r="W13" s="2" t="s">
        <v>79</v>
      </c>
      <c r="X13" s="2" t="s">
        <v>79</v>
      </c>
      <c r="Y13" s="2" t="s">
        <v>79</v>
      </c>
      <c r="Z13" s="2" t="s">
        <v>79</v>
      </c>
      <c r="AA13" s="2" t="s">
        <v>79</v>
      </c>
      <c r="AB13" s="2" t="s">
        <v>78</v>
      </c>
      <c r="AC13" s="2" t="s">
        <v>77</v>
      </c>
      <c r="AD13" s="2" t="s">
        <v>75</v>
      </c>
      <c r="AE13" s="2" t="s">
        <v>79</v>
      </c>
      <c r="AF13" s="2" t="s">
        <v>75</v>
      </c>
      <c r="AG13" s="2" t="s">
        <v>79</v>
      </c>
    </row>
    <row r="14">
      <c r="A14" s="39" t="s">
        <v>82</v>
      </c>
      <c r="B14" s="197">
        <v>2.0</v>
      </c>
      <c r="C14" s="197">
        <v>2.0</v>
      </c>
      <c r="D14" s="39" t="s">
        <v>76</v>
      </c>
      <c r="E14" s="39" t="s">
        <v>75</v>
      </c>
      <c r="F14" s="39" t="s">
        <v>77</v>
      </c>
      <c r="G14" s="39" t="s">
        <v>79</v>
      </c>
      <c r="H14" s="39" t="s">
        <v>79</v>
      </c>
      <c r="I14" s="39" t="s">
        <v>78</v>
      </c>
      <c r="J14" s="39" t="s">
        <v>78</v>
      </c>
      <c r="K14" s="39" t="s">
        <v>75</v>
      </c>
      <c r="L14" s="39" t="s">
        <v>79</v>
      </c>
      <c r="M14" s="39" t="s">
        <v>77</v>
      </c>
      <c r="N14" s="39" t="s">
        <v>76</v>
      </c>
      <c r="O14" s="39" t="s">
        <v>75</v>
      </c>
      <c r="P14" s="39" t="s">
        <v>77</v>
      </c>
      <c r="Q14" s="39" t="s">
        <v>76</v>
      </c>
      <c r="R14" s="39" t="s">
        <v>75</v>
      </c>
      <c r="S14" s="39" t="s">
        <v>77</v>
      </c>
      <c r="T14" s="39" t="s">
        <v>79</v>
      </c>
      <c r="U14" s="39" t="s">
        <v>78</v>
      </c>
      <c r="V14" s="39" t="s">
        <v>79</v>
      </c>
      <c r="W14" s="39" t="s">
        <v>78</v>
      </c>
      <c r="X14" s="39" t="s">
        <v>76</v>
      </c>
      <c r="Y14" s="39" t="s">
        <v>78</v>
      </c>
      <c r="Z14" s="39" t="s">
        <v>75</v>
      </c>
      <c r="AA14" s="39" t="s">
        <v>78</v>
      </c>
      <c r="AB14" s="39" t="s">
        <v>79</v>
      </c>
      <c r="AC14" s="39" t="s">
        <v>79</v>
      </c>
      <c r="AD14" s="39" t="s">
        <v>77</v>
      </c>
      <c r="AE14" s="39" t="s">
        <v>78</v>
      </c>
      <c r="AF14" s="39" t="s">
        <v>75</v>
      </c>
      <c r="AG14" s="39" t="s">
        <v>76</v>
      </c>
    </row>
    <row r="15">
      <c r="A15" s="39" t="s">
        <v>84</v>
      </c>
      <c r="B15" s="197">
        <v>2.0</v>
      </c>
      <c r="C15" s="197">
        <v>2.0</v>
      </c>
      <c r="D15" s="39" t="s">
        <v>76</v>
      </c>
      <c r="E15" s="39" t="s">
        <v>78</v>
      </c>
      <c r="F15" s="39" t="s">
        <v>79</v>
      </c>
      <c r="G15" s="39" t="s">
        <v>75</v>
      </c>
      <c r="H15" s="39" t="s">
        <v>79</v>
      </c>
      <c r="I15" s="39" t="s">
        <v>79</v>
      </c>
      <c r="J15" s="39" t="s">
        <v>76</v>
      </c>
      <c r="K15" s="39" t="s">
        <v>78</v>
      </c>
      <c r="L15" s="39" t="s">
        <v>78</v>
      </c>
      <c r="M15" s="39" t="s">
        <v>75</v>
      </c>
      <c r="N15" s="39" t="s">
        <v>79</v>
      </c>
      <c r="O15" s="39" t="s">
        <v>75</v>
      </c>
      <c r="P15" s="39" t="s">
        <v>79</v>
      </c>
      <c r="Q15" s="39" t="s">
        <v>76</v>
      </c>
      <c r="R15" s="39" t="s">
        <v>76</v>
      </c>
      <c r="S15" s="39" t="s">
        <v>79</v>
      </c>
      <c r="T15" s="39" t="s">
        <v>75</v>
      </c>
      <c r="U15" s="39" t="s">
        <v>78</v>
      </c>
      <c r="V15" s="39" t="s">
        <v>75</v>
      </c>
      <c r="W15" s="39" t="s">
        <v>77</v>
      </c>
      <c r="X15" s="39" t="s">
        <v>76</v>
      </c>
      <c r="Y15" s="39" t="s">
        <v>77</v>
      </c>
      <c r="Z15" s="39" t="s">
        <v>75</v>
      </c>
      <c r="AA15" s="39" t="s">
        <v>79</v>
      </c>
      <c r="AB15" s="39" t="s">
        <v>78</v>
      </c>
      <c r="AC15" s="39" t="s">
        <v>77</v>
      </c>
      <c r="AD15" s="39" t="s">
        <v>79</v>
      </c>
      <c r="AE15" s="39" t="s">
        <v>79</v>
      </c>
      <c r="AF15" s="39" t="s">
        <v>79</v>
      </c>
      <c r="AG15" s="39" t="s">
        <v>78</v>
      </c>
    </row>
    <row r="16">
      <c r="A16" s="39" t="s">
        <v>34</v>
      </c>
      <c r="B16" s="197">
        <v>2.0</v>
      </c>
      <c r="C16" s="197">
        <v>2.0</v>
      </c>
      <c r="D16" s="39" t="s">
        <v>76</v>
      </c>
      <c r="E16" s="39" t="s">
        <v>75</v>
      </c>
      <c r="F16" s="39" t="s">
        <v>77</v>
      </c>
      <c r="G16" s="39" t="s">
        <v>77</v>
      </c>
      <c r="H16" s="39" t="s">
        <v>78</v>
      </c>
      <c r="I16" s="39" t="s">
        <v>76</v>
      </c>
      <c r="J16" s="39" t="s">
        <v>76</v>
      </c>
      <c r="K16" s="39" t="s">
        <v>79</v>
      </c>
      <c r="L16" s="39" t="s">
        <v>79</v>
      </c>
      <c r="M16" s="39" t="s">
        <v>75</v>
      </c>
      <c r="N16" s="39" t="s">
        <v>78</v>
      </c>
      <c r="O16" s="39" t="s">
        <v>75</v>
      </c>
      <c r="P16" s="39" t="s">
        <v>78</v>
      </c>
      <c r="Q16" s="39" t="s">
        <v>75</v>
      </c>
      <c r="R16" s="39" t="s">
        <v>76</v>
      </c>
      <c r="S16" s="39" t="s">
        <v>77</v>
      </c>
      <c r="T16" s="39" t="s">
        <v>78</v>
      </c>
      <c r="U16" s="39" t="s">
        <v>76</v>
      </c>
      <c r="V16" s="39" t="s">
        <v>75</v>
      </c>
      <c r="W16" s="39" t="s">
        <v>77</v>
      </c>
      <c r="X16" s="39" t="s">
        <v>76</v>
      </c>
      <c r="Y16" s="39" t="s">
        <v>77</v>
      </c>
      <c r="Z16" s="39" t="s">
        <v>75</v>
      </c>
      <c r="AA16" s="39" t="s">
        <v>78</v>
      </c>
      <c r="AB16" s="39" t="s">
        <v>78</v>
      </c>
      <c r="AC16" s="39" t="s">
        <v>79</v>
      </c>
      <c r="AD16" s="39" t="s">
        <v>75</v>
      </c>
      <c r="AE16" s="39" t="s">
        <v>77</v>
      </c>
      <c r="AF16" s="39" t="s">
        <v>79</v>
      </c>
      <c r="AG16" s="39" t="s">
        <v>76</v>
      </c>
    </row>
    <row r="17">
      <c r="A17" s="39" t="s">
        <v>35</v>
      </c>
      <c r="B17" s="197">
        <v>2.0</v>
      </c>
      <c r="C17" s="197">
        <v>2.0</v>
      </c>
      <c r="D17" s="39" t="s">
        <v>78</v>
      </c>
      <c r="E17" s="39" t="s">
        <v>78</v>
      </c>
      <c r="F17" s="39" t="s">
        <v>77</v>
      </c>
      <c r="G17" s="39" t="s">
        <v>77</v>
      </c>
      <c r="H17" s="39" t="s">
        <v>77</v>
      </c>
      <c r="I17" s="39" t="s">
        <v>77</v>
      </c>
      <c r="J17" s="39" t="s">
        <v>75</v>
      </c>
      <c r="K17" s="39" t="s">
        <v>77</v>
      </c>
      <c r="L17" s="39" t="s">
        <v>77</v>
      </c>
      <c r="M17" s="39" t="s">
        <v>76</v>
      </c>
      <c r="N17" s="39" t="s">
        <v>77</v>
      </c>
      <c r="O17" s="39" t="s">
        <v>78</v>
      </c>
      <c r="P17" s="39" t="s">
        <v>78</v>
      </c>
      <c r="Q17" s="39" t="s">
        <v>75</v>
      </c>
      <c r="R17" s="39" t="s">
        <v>76</v>
      </c>
      <c r="S17" s="39" t="s">
        <v>77</v>
      </c>
      <c r="T17" s="39" t="s">
        <v>79</v>
      </c>
      <c r="U17" s="39" t="s">
        <v>76</v>
      </c>
      <c r="V17" s="39" t="s">
        <v>76</v>
      </c>
      <c r="W17" s="39" t="s">
        <v>77</v>
      </c>
      <c r="X17" s="39" t="s">
        <v>75</v>
      </c>
      <c r="Y17" s="39" t="s">
        <v>77</v>
      </c>
      <c r="Z17" s="39" t="s">
        <v>76</v>
      </c>
      <c r="AA17" s="39" t="s">
        <v>79</v>
      </c>
      <c r="AB17" s="39" t="s">
        <v>76</v>
      </c>
      <c r="AC17" s="39" t="s">
        <v>77</v>
      </c>
      <c r="AD17" s="39" t="s">
        <v>78</v>
      </c>
      <c r="AE17" s="39" t="s">
        <v>79</v>
      </c>
      <c r="AF17" s="39" t="s">
        <v>77</v>
      </c>
      <c r="AG17" s="39" t="s">
        <v>75</v>
      </c>
    </row>
    <row r="18">
      <c r="A18" s="39" t="s">
        <v>36</v>
      </c>
      <c r="B18" s="197">
        <v>2.0</v>
      </c>
      <c r="C18" s="197">
        <v>2.0</v>
      </c>
      <c r="D18" s="39" t="s">
        <v>75</v>
      </c>
      <c r="E18" s="39" t="s">
        <v>77</v>
      </c>
      <c r="F18" s="39" t="s">
        <v>79</v>
      </c>
      <c r="G18" s="39" t="s">
        <v>79</v>
      </c>
      <c r="H18" s="39" t="s">
        <v>77</v>
      </c>
      <c r="I18" s="39" t="s">
        <v>78</v>
      </c>
      <c r="J18" s="39" t="s">
        <v>79</v>
      </c>
      <c r="K18" s="39" t="s">
        <v>77</v>
      </c>
      <c r="L18" s="39" t="s">
        <v>77</v>
      </c>
      <c r="M18" s="39" t="s">
        <v>79</v>
      </c>
      <c r="N18" s="39" t="s">
        <v>77</v>
      </c>
      <c r="O18" s="39" t="s">
        <v>75</v>
      </c>
      <c r="P18" s="39" t="s">
        <v>78</v>
      </c>
      <c r="Q18" s="39" t="s">
        <v>76</v>
      </c>
      <c r="R18" s="39" t="s">
        <v>76</v>
      </c>
      <c r="S18" s="39" t="s">
        <v>77</v>
      </c>
      <c r="T18" s="39" t="s">
        <v>79</v>
      </c>
      <c r="U18" s="39" t="s">
        <v>78</v>
      </c>
      <c r="V18" s="39" t="s">
        <v>77</v>
      </c>
      <c r="W18" s="39" t="s">
        <v>79</v>
      </c>
      <c r="X18" s="39" t="s">
        <v>76</v>
      </c>
      <c r="Y18" s="39" t="s">
        <v>79</v>
      </c>
      <c r="Z18" s="39" t="s">
        <v>78</v>
      </c>
      <c r="AA18" s="39" t="s">
        <v>75</v>
      </c>
      <c r="AB18" s="39" t="s">
        <v>76</v>
      </c>
      <c r="AC18" s="39" t="s">
        <v>77</v>
      </c>
      <c r="AD18" s="39" t="s">
        <v>75</v>
      </c>
      <c r="AE18" s="39" t="s">
        <v>76</v>
      </c>
      <c r="AF18" s="39" t="s">
        <v>77</v>
      </c>
      <c r="AG18" s="39" t="s">
        <v>75</v>
      </c>
    </row>
    <row r="19">
      <c r="A19" s="39" t="s">
        <v>37</v>
      </c>
      <c r="B19" s="197">
        <v>2.0</v>
      </c>
      <c r="C19" s="197">
        <v>2.0</v>
      </c>
      <c r="D19" s="39" t="s">
        <v>76</v>
      </c>
      <c r="E19" s="39" t="s">
        <v>76</v>
      </c>
      <c r="F19" s="39" t="s">
        <v>76</v>
      </c>
      <c r="G19" s="39" t="s">
        <v>77</v>
      </c>
      <c r="H19" s="39" t="s">
        <v>77</v>
      </c>
      <c r="I19" s="39" t="s">
        <v>78</v>
      </c>
      <c r="J19" s="39" t="s">
        <v>75</v>
      </c>
      <c r="K19" s="39" t="s">
        <v>78</v>
      </c>
      <c r="L19" s="39" t="s">
        <v>77</v>
      </c>
      <c r="M19" s="39" t="s">
        <v>76</v>
      </c>
      <c r="N19" s="39" t="s">
        <v>79</v>
      </c>
      <c r="O19" s="39" t="s">
        <v>76</v>
      </c>
      <c r="P19" s="39" t="s">
        <v>78</v>
      </c>
      <c r="Q19" s="39" t="s">
        <v>75</v>
      </c>
      <c r="R19" s="39" t="s">
        <v>75</v>
      </c>
      <c r="S19" s="39" t="s">
        <v>77</v>
      </c>
      <c r="T19" s="39" t="s">
        <v>78</v>
      </c>
      <c r="U19" s="39" t="s">
        <v>76</v>
      </c>
      <c r="V19" s="39" t="s">
        <v>79</v>
      </c>
      <c r="W19" s="39" t="s">
        <v>77</v>
      </c>
      <c r="X19" s="39" t="s">
        <v>76</v>
      </c>
      <c r="Y19" s="39" t="s">
        <v>78</v>
      </c>
      <c r="Z19" s="39" t="s">
        <v>75</v>
      </c>
      <c r="AA19" s="39" t="s">
        <v>77</v>
      </c>
      <c r="AB19" s="39" t="s">
        <v>75</v>
      </c>
      <c r="AC19" s="39" t="s">
        <v>76</v>
      </c>
      <c r="AD19" s="39" t="s">
        <v>76</v>
      </c>
      <c r="AE19" s="39" t="s">
        <v>76</v>
      </c>
      <c r="AF19" s="39" t="s">
        <v>79</v>
      </c>
      <c r="AG19" s="39" t="s">
        <v>76</v>
      </c>
    </row>
    <row r="20">
      <c r="A20" s="39" t="s">
        <v>38</v>
      </c>
      <c r="B20" s="197">
        <v>2.0</v>
      </c>
      <c r="C20" s="197">
        <v>1.0</v>
      </c>
      <c r="D20" s="39" t="s">
        <v>75</v>
      </c>
      <c r="E20" s="39" t="s">
        <v>77</v>
      </c>
      <c r="F20" s="39" t="s">
        <v>79</v>
      </c>
      <c r="G20" s="39" t="s">
        <v>79</v>
      </c>
      <c r="H20" s="39" t="s">
        <v>77</v>
      </c>
      <c r="I20" s="39" t="s">
        <v>77</v>
      </c>
      <c r="J20" s="39" t="s">
        <v>76</v>
      </c>
      <c r="K20" s="39" t="s">
        <v>77</v>
      </c>
      <c r="L20" s="39" t="s">
        <v>77</v>
      </c>
      <c r="M20" s="39" t="s">
        <v>77</v>
      </c>
      <c r="N20" s="39" t="s">
        <v>75</v>
      </c>
      <c r="O20" s="39" t="s">
        <v>78</v>
      </c>
      <c r="P20" s="39" t="s">
        <v>77</v>
      </c>
      <c r="Q20" s="39" t="s">
        <v>76</v>
      </c>
      <c r="R20" s="39" t="s">
        <v>76</v>
      </c>
      <c r="S20" s="39" t="s">
        <v>77</v>
      </c>
      <c r="T20" s="39" t="s">
        <v>78</v>
      </c>
      <c r="U20" s="39" t="s">
        <v>75</v>
      </c>
      <c r="V20" s="39" t="s">
        <v>79</v>
      </c>
      <c r="W20" s="39" t="s">
        <v>77</v>
      </c>
      <c r="X20" s="39" t="s">
        <v>76</v>
      </c>
      <c r="Y20" s="39" t="s">
        <v>75</v>
      </c>
      <c r="Z20" s="39" t="s">
        <v>76</v>
      </c>
      <c r="AA20" s="39" t="s">
        <v>79</v>
      </c>
      <c r="AB20" s="39" t="s">
        <v>78</v>
      </c>
      <c r="AC20" s="39" t="s">
        <v>77</v>
      </c>
      <c r="AD20" s="39" t="s">
        <v>77</v>
      </c>
      <c r="AE20" s="39" t="s">
        <v>79</v>
      </c>
      <c r="AF20" s="39" t="s">
        <v>77</v>
      </c>
      <c r="AG20" s="39" t="s">
        <v>77</v>
      </c>
    </row>
    <row r="21">
      <c r="A21" s="39" t="s">
        <v>92</v>
      </c>
      <c r="B21" s="197">
        <v>2.0</v>
      </c>
      <c r="C21" s="197">
        <v>1.0</v>
      </c>
      <c r="D21" s="39" t="s">
        <v>76</v>
      </c>
      <c r="E21" s="39" t="s">
        <v>75</v>
      </c>
      <c r="F21" s="39" t="s">
        <v>79</v>
      </c>
      <c r="G21" s="39" t="s">
        <v>78</v>
      </c>
      <c r="H21" s="39" t="s">
        <v>79</v>
      </c>
      <c r="I21" s="39" t="s">
        <v>77</v>
      </c>
      <c r="J21" s="39" t="s">
        <v>79</v>
      </c>
      <c r="K21" s="39" t="s">
        <v>78</v>
      </c>
      <c r="L21" s="39" t="s">
        <v>77</v>
      </c>
      <c r="M21" s="39" t="s">
        <v>77</v>
      </c>
      <c r="N21" s="39" t="s">
        <v>75</v>
      </c>
      <c r="O21" s="39" t="s">
        <v>78</v>
      </c>
      <c r="P21" s="39" t="s">
        <v>79</v>
      </c>
      <c r="Q21" s="39" t="s">
        <v>76</v>
      </c>
      <c r="R21" s="39" t="s">
        <v>76</v>
      </c>
      <c r="S21" s="39" t="s">
        <v>79</v>
      </c>
      <c r="T21" s="39" t="s">
        <v>78</v>
      </c>
      <c r="U21" s="39" t="s">
        <v>75</v>
      </c>
      <c r="V21" s="39" t="s">
        <v>79</v>
      </c>
      <c r="W21" s="39" t="s">
        <v>79</v>
      </c>
      <c r="X21" s="39" t="s">
        <v>75</v>
      </c>
      <c r="Y21" s="39" t="s">
        <v>78</v>
      </c>
      <c r="Z21" s="39" t="s">
        <v>75</v>
      </c>
      <c r="AA21" s="39" t="s">
        <v>79</v>
      </c>
      <c r="AB21" s="39" t="s">
        <v>79</v>
      </c>
      <c r="AC21" s="39" t="s">
        <v>78</v>
      </c>
      <c r="AD21" s="39" t="s">
        <v>79</v>
      </c>
      <c r="AE21" s="39" t="s">
        <v>78</v>
      </c>
      <c r="AF21" s="39" t="s">
        <v>77</v>
      </c>
      <c r="AG21" s="39" t="s">
        <v>78</v>
      </c>
    </row>
    <row r="22">
      <c r="A22" s="39" t="s">
        <v>40</v>
      </c>
      <c r="B22" s="197">
        <v>2.0</v>
      </c>
      <c r="C22" s="197">
        <v>1.0</v>
      </c>
      <c r="D22" s="39" t="s">
        <v>79</v>
      </c>
      <c r="E22" s="39" t="s">
        <v>79</v>
      </c>
      <c r="F22" s="39" t="s">
        <v>77</v>
      </c>
      <c r="G22" s="39" t="s">
        <v>79</v>
      </c>
      <c r="H22" s="39" t="s">
        <v>75</v>
      </c>
      <c r="I22" s="39" t="s">
        <v>78</v>
      </c>
      <c r="J22" s="39" t="s">
        <v>77</v>
      </c>
      <c r="K22" s="39" t="s">
        <v>77</v>
      </c>
      <c r="L22" s="39" t="s">
        <v>77</v>
      </c>
      <c r="M22" s="39" t="s">
        <v>77</v>
      </c>
      <c r="N22" s="39" t="s">
        <v>79</v>
      </c>
      <c r="O22" s="39" t="s">
        <v>79</v>
      </c>
      <c r="P22" s="39" t="s">
        <v>78</v>
      </c>
      <c r="Q22" s="39" t="s">
        <v>79</v>
      </c>
      <c r="R22" s="39" t="s">
        <v>76</v>
      </c>
      <c r="S22" s="39" t="s">
        <v>77</v>
      </c>
      <c r="T22" s="39" t="s">
        <v>78</v>
      </c>
      <c r="U22" s="39" t="s">
        <v>79</v>
      </c>
      <c r="V22" s="39" t="s">
        <v>77</v>
      </c>
      <c r="W22" s="39" t="s">
        <v>79</v>
      </c>
      <c r="X22" s="39" t="s">
        <v>76</v>
      </c>
      <c r="Y22" s="39" t="s">
        <v>79</v>
      </c>
      <c r="Z22" s="39" t="s">
        <v>76</v>
      </c>
      <c r="AA22" s="39" t="s">
        <v>78</v>
      </c>
      <c r="AB22" s="39" t="s">
        <v>76</v>
      </c>
      <c r="AC22" s="39" t="s">
        <v>75</v>
      </c>
      <c r="AD22" s="39" t="s">
        <v>77</v>
      </c>
      <c r="AE22" s="39" t="s">
        <v>79</v>
      </c>
      <c r="AF22" s="39" t="s">
        <v>77</v>
      </c>
      <c r="AG22" s="39" t="s">
        <v>79</v>
      </c>
    </row>
    <row r="23">
      <c r="A23" s="39" t="s">
        <v>41</v>
      </c>
      <c r="B23" s="197">
        <v>2.0</v>
      </c>
      <c r="C23" s="197">
        <v>1.0</v>
      </c>
      <c r="D23" s="39" t="s">
        <v>76</v>
      </c>
      <c r="E23" s="39" t="s">
        <v>78</v>
      </c>
      <c r="F23" s="39" t="s">
        <v>77</v>
      </c>
      <c r="G23" s="39" t="s">
        <v>77</v>
      </c>
      <c r="H23" s="39" t="s">
        <v>79</v>
      </c>
      <c r="I23" s="39" t="s">
        <v>79</v>
      </c>
      <c r="J23" s="39" t="s">
        <v>76</v>
      </c>
      <c r="K23" s="39" t="s">
        <v>78</v>
      </c>
      <c r="L23" s="39" t="s">
        <v>75</v>
      </c>
      <c r="M23" s="39" t="s">
        <v>75</v>
      </c>
      <c r="N23" s="39" t="s">
        <v>77</v>
      </c>
      <c r="O23" s="39" t="s">
        <v>76</v>
      </c>
      <c r="P23" s="39" t="s">
        <v>79</v>
      </c>
      <c r="Q23" s="39" t="s">
        <v>75</v>
      </c>
      <c r="R23" s="39" t="s">
        <v>76</v>
      </c>
      <c r="S23" s="39" t="s">
        <v>79</v>
      </c>
      <c r="T23" s="39" t="s">
        <v>78</v>
      </c>
      <c r="U23" s="39" t="s">
        <v>79</v>
      </c>
      <c r="V23" s="39" t="s">
        <v>78</v>
      </c>
      <c r="W23" s="39" t="s">
        <v>77</v>
      </c>
      <c r="X23" s="39" t="s">
        <v>76</v>
      </c>
      <c r="Y23" s="39" t="s">
        <v>77</v>
      </c>
      <c r="Z23" s="39" t="s">
        <v>76</v>
      </c>
      <c r="AA23" s="39" t="s">
        <v>78</v>
      </c>
      <c r="AB23" s="39" t="s">
        <v>79</v>
      </c>
      <c r="AC23" s="39" t="s">
        <v>78</v>
      </c>
      <c r="AD23" s="39" t="s">
        <v>79</v>
      </c>
      <c r="AE23" s="39" t="s">
        <v>78</v>
      </c>
      <c r="AF23" s="39" t="s">
        <v>79</v>
      </c>
      <c r="AG23" s="39" t="s">
        <v>75</v>
      </c>
    </row>
    <row r="24">
      <c r="A24" s="39" t="s">
        <v>42</v>
      </c>
      <c r="B24" s="197">
        <v>2.0</v>
      </c>
      <c r="C24" s="197">
        <v>1.0</v>
      </c>
      <c r="D24" s="39" t="s">
        <v>76</v>
      </c>
      <c r="E24" s="39" t="s">
        <v>76</v>
      </c>
      <c r="F24" s="39" t="s">
        <v>78</v>
      </c>
      <c r="G24" s="39" t="s">
        <v>79</v>
      </c>
      <c r="H24" s="39" t="s">
        <v>79</v>
      </c>
      <c r="I24" s="39" t="s">
        <v>77</v>
      </c>
      <c r="J24" s="39" t="s">
        <v>75</v>
      </c>
      <c r="K24" s="39" t="s">
        <v>79</v>
      </c>
      <c r="L24" s="39" t="s">
        <v>76</v>
      </c>
      <c r="M24" s="39" t="s">
        <v>77</v>
      </c>
      <c r="N24" s="39" t="s">
        <v>78</v>
      </c>
      <c r="O24" s="39" t="s">
        <v>76</v>
      </c>
      <c r="P24" s="39" t="s">
        <v>77</v>
      </c>
      <c r="Q24" s="39" t="s">
        <v>76</v>
      </c>
      <c r="R24" s="39" t="s">
        <v>75</v>
      </c>
      <c r="S24" s="39" t="s">
        <v>77</v>
      </c>
      <c r="T24" s="39" t="s">
        <v>78</v>
      </c>
      <c r="U24" s="39" t="s">
        <v>78</v>
      </c>
      <c r="V24" s="39" t="s">
        <v>79</v>
      </c>
      <c r="W24" s="39" t="s">
        <v>77</v>
      </c>
      <c r="X24" s="39" t="s">
        <v>76</v>
      </c>
      <c r="Y24" s="39" t="s">
        <v>79</v>
      </c>
      <c r="Z24" s="39" t="s">
        <v>75</v>
      </c>
      <c r="AA24" s="39" t="s">
        <v>77</v>
      </c>
      <c r="AB24" s="39" t="s">
        <v>79</v>
      </c>
      <c r="AC24" s="39" t="s">
        <v>77</v>
      </c>
      <c r="AD24" s="39" t="s">
        <v>78</v>
      </c>
      <c r="AE24" s="39" t="s">
        <v>79</v>
      </c>
      <c r="AF24" s="39" t="s">
        <v>77</v>
      </c>
      <c r="AG24" s="39" t="s">
        <v>76</v>
      </c>
    </row>
    <row r="25">
      <c r="A25" s="39" t="s">
        <v>43</v>
      </c>
      <c r="B25" s="197">
        <v>2.0</v>
      </c>
      <c r="C25" s="197">
        <v>1.0</v>
      </c>
      <c r="D25" s="39" t="s">
        <v>76</v>
      </c>
      <c r="E25" s="39" t="s">
        <v>75</v>
      </c>
      <c r="F25" s="39" t="s">
        <v>77</v>
      </c>
      <c r="G25" s="39" t="s">
        <v>77</v>
      </c>
      <c r="H25" s="39" t="s">
        <v>77</v>
      </c>
      <c r="I25" s="39" t="s">
        <v>79</v>
      </c>
      <c r="J25" s="39" t="s">
        <v>76</v>
      </c>
      <c r="K25" s="39" t="s">
        <v>77</v>
      </c>
      <c r="L25" s="39" t="s">
        <v>79</v>
      </c>
      <c r="M25" s="39" t="s">
        <v>75</v>
      </c>
      <c r="N25" s="39" t="s">
        <v>79</v>
      </c>
      <c r="O25" s="39" t="s">
        <v>76</v>
      </c>
      <c r="P25" s="39" t="s">
        <v>78</v>
      </c>
      <c r="Q25" s="39" t="s">
        <v>76</v>
      </c>
      <c r="R25" s="39" t="s">
        <v>76</v>
      </c>
      <c r="S25" s="39" t="s">
        <v>79</v>
      </c>
      <c r="T25" s="39" t="s">
        <v>75</v>
      </c>
      <c r="U25" s="39" t="s">
        <v>79</v>
      </c>
      <c r="V25" s="39" t="s">
        <v>75</v>
      </c>
      <c r="W25" s="39" t="s">
        <v>77</v>
      </c>
      <c r="X25" s="39" t="s">
        <v>76</v>
      </c>
      <c r="Y25" s="39" t="s">
        <v>77</v>
      </c>
      <c r="Z25" s="39" t="s">
        <v>75</v>
      </c>
      <c r="AA25" s="39" t="s">
        <v>79</v>
      </c>
      <c r="AB25" s="39" t="s">
        <v>78</v>
      </c>
      <c r="AC25" s="39" t="s">
        <v>79</v>
      </c>
      <c r="AD25" s="39" t="s">
        <v>79</v>
      </c>
      <c r="AE25" s="39" t="s">
        <v>75</v>
      </c>
      <c r="AF25" s="39" t="s">
        <v>79</v>
      </c>
      <c r="AG25" s="39" t="s">
        <v>76</v>
      </c>
    </row>
    <row r="26">
      <c r="A26" s="39" t="s">
        <v>82</v>
      </c>
      <c r="B26" s="197">
        <v>3.0</v>
      </c>
      <c r="C26" s="197">
        <v>2.0</v>
      </c>
      <c r="D26" s="39" t="s">
        <v>76</v>
      </c>
      <c r="E26" s="39" t="s">
        <v>79</v>
      </c>
      <c r="F26" s="39" t="s">
        <v>75</v>
      </c>
      <c r="G26" s="39" t="s">
        <v>78</v>
      </c>
      <c r="H26" s="39" t="s">
        <v>79</v>
      </c>
      <c r="I26" s="39" t="s">
        <v>78</v>
      </c>
      <c r="J26" s="39" t="s">
        <v>76</v>
      </c>
      <c r="K26" s="39" t="s">
        <v>77</v>
      </c>
      <c r="L26" s="39" t="s">
        <v>75</v>
      </c>
      <c r="M26" s="39" t="s">
        <v>77</v>
      </c>
      <c r="N26" s="39" t="s">
        <v>79</v>
      </c>
      <c r="O26" s="39" t="s">
        <v>77</v>
      </c>
      <c r="P26" s="39" t="s">
        <v>78</v>
      </c>
      <c r="Q26" s="39" t="s">
        <v>77</v>
      </c>
      <c r="R26" s="39" t="s">
        <v>75</v>
      </c>
      <c r="S26" s="39" t="s">
        <v>75</v>
      </c>
      <c r="T26" s="39" t="s">
        <v>78</v>
      </c>
      <c r="U26" s="39" t="s">
        <v>77</v>
      </c>
      <c r="V26" s="39" t="s">
        <v>78</v>
      </c>
      <c r="W26" s="39" t="s">
        <v>77</v>
      </c>
      <c r="X26" s="39" t="s">
        <v>77</v>
      </c>
      <c r="Y26" s="39" t="s">
        <v>78</v>
      </c>
      <c r="Z26" s="39" t="s">
        <v>76</v>
      </c>
      <c r="AA26" s="39" t="s">
        <v>75</v>
      </c>
      <c r="AB26" s="39" t="s">
        <v>77</v>
      </c>
      <c r="AC26" s="39" t="s">
        <v>75</v>
      </c>
      <c r="AD26" s="39" t="s">
        <v>79</v>
      </c>
      <c r="AE26" s="39" t="s">
        <v>79</v>
      </c>
      <c r="AF26" s="39" t="s">
        <v>79</v>
      </c>
      <c r="AG26" s="39" t="s">
        <v>77</v>
      </c>
    </row>
    <row r="27">
      <c r="A27" s="39" t="s">
        <v>84</v>
      </c>
      <c r="B27" s="197">
        <v>3.0</v>
      </c>
      <c r="C27" s="197">
        <v>2.0</v>
      </c>
      <c r="D27" s="39" t="s">
        <v>76</v>
      </c>
      <c r="E27" s="39" t="s">
        <v>79</v>
      </c>
      <c r="F27" s="39" t="s">
        <v>75</v>
      </c>
      <c r="G27" s="39" t="s">
        <v>78</v>
      </c>
      <c r="H27" s="39" t="s">
        <v>78</v>
      </c>
      <c r="I27" s="39" t="s">
        <v>79</v>
      </c>
      <c r="J27" s="39" t="s">
        <v>76</v>
      </c>
      <c r="K27" s="39" t="s">
        <v>79</v>
      </c>
      <c r="L27" s="39" t="s">
        <v>75</v>
      </c>
      <c r="M27" s="39" t="s">
        <v>79</v>
      </c>
      <c r="N27" s="39" t="s">
        <v>77</v>
      </c>
      <c r="O27" s="39" t="s">
        <v>78</v>
      </c>
      <c r="P27" s="39" t="s">
        <v>75</v>
      </c>
      <c r="Q27" s="39" t="s">
        <v>78</v>
      </c>
      <c r="R27" s="39" t="s">
        <v>75</v>
      </c>
      <c r="S27" s="39" t="s">
        <v>75</v>
      </c>
      <c r="T27" s="39" t="s">
        <v>78</v>
      </c>
      <c r="U27" s="39" t="s">
        <v>77</v>
      </c>
      <c r="V27" s="39" t="s">
        <v>78</v>
      </c>
      <c r="W27" s="39" t="s">
        <v>78</v>
      </c>
      <c r="X27" s="39" t="s">
        <v>79</v>
      </c>
      <c r="Y27" s="39" t="s">
        <v>79</v>
      </c>
      <c r="Z27" s="39" t="s">
        <v>75</v>
      </c>
      <c r="AA27" s="39" t="s">
        <v>78</v>
      </c>
      <c r="AB27" s="39" t="s">
        <v>77</v>
      </c>
      <c r="AC27" s="39" t="s">
        <v>76</v>
      </c>
      <c r="AD27" s="39" t="s">
        <v>77</v>
      </c>
      <c r="AE27" s="39" t="s">
        <v>79</v>
      </c>
      <c r="AF27" s="39" t="s">
        <v>77</v>
      </c>
      <c r="AG27" s="39" t="s">
        <v>79</v>
      </c>
    </row>
    <row r="28">
      <c r="A28" s="39" t="s">
        <v>34</v>
      </c>
      <c r="B28" s="197">
        <v>3.0</v>
      </c>
      <c r="C28" s="197">
        <v>2.0</v>
      </c>
      <c r="D28" s="39" t="s">
        <v>75</v>
      </c>
      <c r="E28" s="39" t="s">
        <v>77</v>
      </c>
      <c r="F28" s="39" t="s">
        <v>76</v>
      </c>
      <c r="G28" s="39" t="s">
        <v>78</v>
      </c>
      <c r="H28" s="39" t="s">
        <v>78</v>
      </c>
      <c r="I28" s="39" t="s">
        <v>75</v>
      </c>
      <c r="J28" s="39" t="s">
        <v>76</v>
      </c>
      <c r="K28" s="39" t="s">
        <v>79</v>
      </c>
      <c r="L28" s="39" t="s">
        <v>75</v>
      </c>
      <c r="M28" s="39" t="s">
        <v>77</v>
      </c>
      <c r="N28" s="39" t="s">
        <v>77</v>
      </c>
      <c r="O28" s="39" t="s">
        <v>75</v>
      </c>
      <c r="P28" s="39" t="s">
        <v>78</v>
      </c>
      <c r="Q28" s="39" t="s">
        <v>79</v>
      </c>
      <c r="R28" s="39" t="s">
        <v>76</v>
      </c>
      <c r="S28" s="39" t="s">
        <v>76</v>
      </c>
      <c r="T28" s="39" t="s">
        <v>78</v>
      </c>
      <c r="U28" s="39" t="s">
        <v>77</v>
      </c>
      <c r="V28" s="39" t="s">
        <v>75</v>
      </c>
      <c r="W28" s="39" t="s">
        <v>77</v>
      </c>
      <c r="X28" s="39" t="s">
        <v>78</v>
      </c>
      <c r="Y28" s="39" t="s">
        <v>79</v>
      </c>
      <c r="Z28" s="39" t="s">
        <v>76</v>
      </c>
      <c r="AA28" s="39" t="s">
        <v>79</v>
      </c>
      <c r="AB28" s="39" t="s">
        <v>78</v>
      </c>
      <c r="AC28" s="39" t="s">
        <v>75</v>
      </c>
      <c r="AD28" s="39" t="s">
        <v>77</v>
      </c>
      <c r="AE28" s="39" t="s">
        <v>79</v>
      </c>
      <c r="AF28" s="39" t="s">
        <v>77</v>
      </c>
      <c r="AG28" s="39" t="s">
        <v>75</v>
      </c>
    </row>
    <row r="29">
      <c r="A29" s="39" t="s">
        <v>35</v>
      </c>
      <c r="B29" s="197">
        <v>3.0</v>
      </c>
      <c r="C29" s="197">
        <v>2.0</v>
      </c>
      <c r="D29" s="39" t="s">
        <v>75</v>
      </c>
      <c r="E29" s="39" t="s">
        <v>79</v>
      </c>
      <c r="F29" s="39" t="s">
        <v>78</v>
      </c>
      <c r="G29" s="39" t="s">
        <v>75</v>
      </c>
      <c r="H29" s="39" t="s">
        <v>76</v>
      </c>
      <c r="I29" s="39" t="s">
        <v>78</v>
      </c>
      <c r="J29" s="39" t="s">
        <v>75</v>
      </c>
      <c r="K29" s="39" t="s">
        <v>79</v>
      </c>
      <c r="L29" s="39" t="s">
        <v>75</v>
      </c>
      <c r="M29" s="39" t="s">
        <v>79</v>
      </c>
      <c r="N29" s="39" t="s">
        <v>79</v>
      </c>
      <c r="O29" s="39" t="s">
        <v>76</v>
      </c>
      <c r="P29" s="39" t="s">
        <v>79</v>
      </c>
      <c r="Q29" s="39" t="s">
        <v>77</v>
      </c>
      <c r="R29" s="39" t="s">
        <v>79</v>
      </c>
      <c r="S29" s="39" t="s">
        <v>75</v>
      </c>
      <c r="T29" s="39" t="s">
        <v>79</v>
      </c>
      <c r="U29" s="39" t="s">
        <v>77</v>
      </c>
      <c r="V29" s="39" t="s">
        <v>76</v>
      </c>
      <c r="W29" s="39" t="s">
        <v>79</v>
      </c>
      <c r="X29" s="39" t="s">
        <v>78</v>
      </c>
      <c r="Y29" s="39" t="s">
        <v>75</v>
      </c>
      <c r="Z29" s="39" t="s">
        <v>76</v>
      </c>
      <c r="AA29" s="39" t="s">
        <v>78</v>
      </c>
      <c r="AB29" s="39" t="s">
        <v>77</v>
      </c>
      <c r="AC29" s="39" t="s">
        <v>76</v>
      </c>
      <c r="AD29" s="39" t="s">
        <v>79</v>
      </c>
      <c r="AE29" s="39" t="s">
        <v>77</v>
      </c>
      <c r="AF29" s="39" t="s">
        <v>75</v>
      </c>
      <c r="AG29" s="39" t="s">
        <v>79</v>
      </c>
    </row>
    <row r="30">
      <c r="A30" s="39" t="s">
        <v>36</v>
      </c>
      <c r="B30" s="197">
        <v>3.0</v>
      </c>
      <c r="C30" s="197">
        <v>2.0</v>
      </c>
      <c r="D30" s="39" t="s">
        <v>76</v>
      </c>
      <c r="E30" s="39" t="s">
        <v>79</v>
      </c>
      <c r="F30" s="39" t="s">
        <v>75</v>
      </c>
      <c r="G30" s="39" t="s">
        <v>78</v>
      </c>
      <c r="H30" s="39" t="s">
        <v>77</v>
      </c>
      <c r="I30" s="39" t="s">
        <v>78</v>
      </c>
      <c r="J30" s="39" t="s">
        <v>76</v>
      </c>
      <c r="K30" s="39" t="s">
        <v>77</v>
      </c>
      <c r="L30" s="39" t="s">
        <v>75</v>
      </c>
      <c r="M30" s="39" t="s">
        <v>77</v>
      </c>
      <c r="N30" s="39" t="s">
        <v>78</v>
      </c>
      <c r="O30" s="39" t="s">
        <v>79</v>
      </c>
      <c r="P30" s="39" t="s">
        <v>75</v>
      </c>
      <c r="Q30" s="39" t="s">
        <v>77</v>
      </c>
      <c r="R30" s="39" t="s">
        <v>78</v>
      </c>
      <c r="S30" s="39" t="s">
        <v>75</v>
      </c>
      <c r="T30" s="39" t="s">
        <v>77</v>
      </c>
      <c r="U30" s="39" t="s">
        <v>79</v>
      </c>
      <c r="V30" s="39" t="s">
        <v>77</v>
      </c>
      <c r="W30" s="39" t="s">
        <v>77</v>
      </c>
      <c r="X30" s="39" t="s">
        <v>76</v>
      </c>
      <c r="Y30" s="39" t="s">
        <v>78</v>
      </c>
      <c r="Z30" s="39" t="s">
        <v>76</v>
      </c>
      <c r="AA30" s="39" t="s">
        <v>75</v>
      </c>
      <c r="AB30" s="39" t="s">
        <v>79</v>
      </c>
      <c r="AC30" s="39" t="s">
        <v>76</v>
      </c>
      <c r="AD30" s="39" t="s">
        <v>79</v>
      </c>
      <c r="AE30" s="39" t="s">
        <v>77</v>
      </c>
      <c r="AF30" s="39" t="s">
        <v>77</v>
      </c>
      <c r="AG30" s="39" t="s">
        <v>79</v>
      </c>
    </row>
    <row r="31">
      <c r="A31" s="39" t="s">
        <v>37</v>
      </c>
      <c r="B31" s="197">
        <v>3.0</v>
      </c>
      <c r="C31" s="197">
        <v>2.0</v>
      </c>
      <c r="D31" s="39" t="s">
        <v>76</v>
      </c>
      <c r="E31" s="39" t="s">
        <v>79</v>
      </c>
      <c r="F31" s="39" t="s">
        <v>75</v>
      </c>
      <c r="G31" s="39" t="s">
        <v>76</v>
      </c>
      <c r="H31" s="39" t="s">
        <v>77</v>
      </c>
      <c r="I31" s="39" t="s">
        <v>75</v>
      </c>
      <c r="J31" s="39" t="s">
        <v>76</v>
      </c>
      <c r="K31" s="39" t="s">
        <v>78</v>
      </c>
      <c r="L31" s="39" t="s">
        <v>76</v>
      </c>
      <c r="M31" s="39" t="s">
        <v>75</v>
      </c>
      <c r="N31" s="39" t="s">
        <v>78</v>
      </c>
      <c r="O31" s="39" t="s">
        <v>75</v>
      </c>
      <c r="P31" s="39" t="s">
        <v>76</v>
      </c>
      <c r="Q31" s="39" t="s">
        <v>75</v>
      </c>
      <c r="R31" s="39" t="s">
        <v>79</v>
      </c>
      <c r="S31" s="39" t="s">
        <v>76</v>
      </c>
      <c r="T31" s="39" t="s">
        <v>77</v>
      </c>
      <c r="U31" s="39" t="s">
        <v>78</v>
      </c>
      <c r="V31" s="39" t="s">
        <v>75</v>
      </c>
      <c r="W31" s="39" t="s">
        <v>75</v>
      </c>
      <c r="X31" s="39" t="s">
        <v>77</v>
      </c>
      <c r="Y31" s="39" t="s">
        <v>75</v>
      </c>
      <c r="Z31" s="39" t="s">
        <v>76</v>
      </c>
      <c r="AA31" s="39" t="s">
        <v>78</v>
      </c>
      <c r="AB31" s="39" t="s">
        <v>76</v>
      </c>
      <c r="AC31" s="39" t="s">
        <v>76</v>
      </c>
      <c r="AD31" s="39" t="s">
        <v>78</v>
      </c>
      <c r="AE31" s="39" t="s">
        <v>79</v>
      </c>
      <c r="AF31" s="39" t="s">
        <v>78</v>
      </c>
      <c r="AG31" s="39" t="s">
        <v>75</v>
      </c>
    </row>
    <row r="32">
      <c r="A32" s="39" t="s">
        <v>38</v>
      </c>
      <c r="B32" s="197">
        <v>3.0</v>
      </c>
      <c r="C32" s="197">
        <v>1.0</v>
      </c>
      <c r="D32" s="39" t="s">
        <v>75</v>
      </c>
      <c r="E32" s="39" t="s">
        <v>77</v>
      </c>
      <c r="F32" s="39" t="s">
        <v>77</v>
      </c>
      <c r="G32" s="39" t="s">
        <v>75</v>
      </c>
      <c r="H32" s="39" t="s">
        <v>77</v>
      </c>
      <c r="I32" s="39" t="s">
        <v>77</v>
      </c>
      <c r="J32" s="39" t="s">
        <v>76</v>
      </c>
      <c r="K32" s="39" t="s">
        <v>79</v>
      </c>
      <c r="L32" s="39" t="s">
        <v>76</v>
      </c>
      <c r="M32" s="39" t="s">
        <v>77</v>
      </c>
      <c r="N32" s="39" t="s">
        <v>77</v>
      </c>
      <c r="O32" s="39" t="s">
        <v>77</v>
      </c>
      <c r="P32" s="39" t="s">
        <v>76</v>
      </c>
      <c r="Q32" s="39" t="s">
        <v>79</v>
      </c>
      <c r="R32" s="39" t="s">
        <v>76</v>
      </c>
      <c r="S32" s="39" t="s">
        <v>76</v>
      </c>
      <c r="T32" s="39" t="s">
        <v>77</v>
      </c>
      <c r="U32" s="39" t="s">
        <v>79</v>
      </c>
      <c r="V32" s="39" t="s">
        <v>76</v>
      </c>
      <c r="W32" s="39" t="s">
        <v>78</v>
      </c>
      <c r="X32" s="39" t="s">
        <v>79</v>
      </c>
      <c r="Y32" s="39" t="s">
        <v>78</v>
      </c>
      <c r="Z32" s="39" t="s">
        <v>76</v>
      </c>
      <c r="AA32" s="39" t="s">
        <v>76</v>
      </c>
      <c r="AB32" s="39" t="s">
        <v>79</v>
      </c>
      <c r="AC32" s="39" t="s">
        <v>76</v>
      </c>
      <c r="AD32" s="39" t="s">
        <v>79</v>
      </c>
      <c r="AE32" s="39" t="s">
        <v>77</v>
      </c>
      <c r="AF32" s="39" t="s">
        <v>79</v>
      </c>
      <c r="AG32" s="39" t="s">
        <v>77</v>
      </c>
    </row>
    <row r="33">
      <c r="A33" s="39" t="s">
        <v>39</v>
      </c>
      <c r="B33" s="197">
        <v>3.0</v>
      </c>
      <c r="C33" s="197">
        <v>1.0</v>
      </c>
      <c r="D33" s="39" t="s">
        <v>75</v>
      </c>
      <c r="E33" s="39" t="s">
        <v>78</v>
      </c>
      <c r="F33" s="39" t="s">
        <v>79</v>
      </c>
      <c r="G33" s="39" t="s">
        <v>78</v>
      </c>
      <c r="H33" s="39" t="s">
        <v>75</v>
      </c>
      <c r="I33" s="39" t="s">
        <v>78</v>
      </c>
      <c r="J33" s="39" t="s">
        <v>76</v>
      </c>
      <c r="K33" s="39" t="s">
        <v>79</v>
      </c>
      <c r="L33" s="39" t="s">
        <v>79</v>
      </c>
      <c r="M33" s="39" t="s">
        <v>79</v>
      </c>
      <c r="N33" s="39" t="s">
        <v>77</v>
      </c>
      <c r="O33" s="39" t="s">
        <v>78</v>
      </c>
      <c r="P33" s="39" t="s">
        <v>75</v>
      </c>
      <c r="Q33" s="39" t="s">
        <v>79</v>
      </c>
      <c r="R33" s="39" t="s">
        <v>75</v>
      </c>
      <c r="S33" s="39" t="s">
        <v>79</v>
      </c>
      <c r="T33" s="39" t="s">
        <v>79</v>
      </c>
      <c r="U33" s="39" t="s">
        <v>78</v>
      </c>
      <c r="V33" s="39" t="s">
        <v>78</v>
      </c>
      <c r="W33" s="39" t="s">
        <v>75</v>
      </c>
      <c r="X33" s="39" t="s">
        <v>78</v>
      </c>
      <c r="Y33" s="39" t="s">
        <v>79</v>
      </c>
      <c r="Z33" s="39" t="s">
        <v>76</v>
      </c>
      <c r="AA33" s="39" t="s">
        <v>78</v>
      </c>
      <c r="AB33" s="39" t="s">
        <v>75</v>
      </c>
      <c r="AC33" s="39" t="s">
        <v>76</v>
      </c>
      <c r="AD33" s="39" t="s">
        <v>79</v>
      </c>
      <c r="AE33" s="39" t="s">
        <v>78</v>
      </c>
      <c r="AF33" s="39" t="s">
        <v>75</v>
      </c>
      <c r="AG33" s="39" t="s">
        <v>78</v>
      </c>
    </row>
    <row r="34">
      <c r="A34" s="39" t="s">
        <v>98</v>
      </c>
      <c r="B34" s="197">
        <v>3.0</v>
      </c>
      <c r="C34" s="197">
        <v>1.0</v>
      </c>
      <c r="D34" s="39" t="s">
        <v>77</v>
      </c>
      <c r="E34" s="39" t="s">
        <v>77</v>
      </c>
      <c r="F34" s="39" t="s">
        <v>79</v>
      </c>
      <c r="G34" s="39" t="s">
        <v>79</v>
      </c>
      <c r="H34" s="39" t="s">
        <v>79</v>
      </c>
      <c r="I34" s="39" t="s">
        <v>78</v>
      </c>
      <c r="J34" s="39" t="s">
        <v>75</v>
      </c>
      <c r="K34" s="39" t="s">
        <v>79</v>
      </c>
      <c r="L34" s="39" t="s">
        <v>79</v>
      </c>
      <c r="M34" s="39" t="s">
        <v>77</v>
      </c>
      <c r="N34" s="39" t="s">
        <v>77</v>
      </c>
      <c r="O34" s="39" t="s">
        <v>77</v>
      </c>
      <c r="P34" s="39" t="s">
        <v>79</v>
      </c>
      <c r="Q34" s="39" t="s">
        <v>78</v>
      </c>
      <c r="R34" s="39" t="s">
        <v>79</v>
      </c>
      <c r="S34" s="39" t="s">
        <v>78</v>
      </c>
      <c r="T34" s="39" t="s">
        <v>79</v>
      </c>
      <c r="U34" s="39" t="s">
        <v>79</v>
      </c>
      <c r="V34" s="39" t="s">
        <v>78</v>
      </c>
      <c r="W34" s="39" t="s">
        <v>79</v>
      </c>
      <c r="X34" s="39" t="s">
        <v>79</v>
      </c>
      <c r="Y34" s="39" t="s">
        <v>77</v>
      </c>
      <c r="Z34" s="39" t="s">
        <v>76</v>
      </c>
      <c r="AA34" s="39" t="s">
        <v>76</v>
      </c>
      <c r="AB34" s="39" t="s">
        <v>79</v>
      </c>
      <c r="AC34" s="39" t="s">
        <v>75</v>
      </c>
      <c r="AD34" s="39" t="s">
        <v>77</v>
      </c>
      <c r="AE34" s="39" t="s">
        <v>79</v>
      </c>
      <c r="AF34" s="39" t="s">
        <v>77</v>
      </c>
      <c r="AG34" s="39" t="s">
        <v>77</v>
      </c>
    </row>
    <row r="35">
      <c r="A35" s="39" t="s">
        <v>41</v>
      </c>
      <c r="B35" s="197">
        <v>3.0</v>
      </c>
      <c r="C35" s="197">
        <v>1.0</v>
      </c>
      <c r="D35" s="39" t="s">
        <v>75</v>
      </c>
      <c r="E35" s="39" t="s">
        <v>77</v>
      </c>
      <c r="F35" s="39" t="s">
        <v>78</v>
      </c>
      <c r="G35" s="39" t="s">
        <v>78</v>
      </c>
      <c r="H35" s="39" t="s">
        <v>77</v>
      </c>
      <c r="I35" s="39" t="s">
        <v>77</v>
      </c>
      <c r="J35" s="39" t="s">
        <v>76</v>
      </c>
      <c r="K35" s="39" t="s">
        <v>77</v>
      </c>
      <c r="L35" s="39" t="s">
        <v>75</v>
      </c>
      <c r="M35" s="39" t="s">
        <v>79</v>
      </c>
      <c r="N35" s="39" t="s">
        <v>79</v>
      </c>
      <c r="O35" s="39" t="s">
        <v>78</v>
      </c>
      <c r="P35" s="39" t="s">
        <v>78</v>
      </c>
      <c r="Q35" s="39" t="s">
        <v>77</v>
      </c>
      <c r="R35" s="39" t="s">
        <v>78</v>
      </c>
      <c r="S35" s="39" t="s">
        <v>76</v>
      </c>
      <c r="T35" s="39" t="s">
        <v>79</v>
      </c>
      <c r="U35" s="39" t="s">
        <v>77</v>
      </c>
      <c r="V35" s="39" t="s">
        <v>78</v>
      </c>
      <c r="W35" s="39" t="s">
        <v>75</v>
      </c>
      <c r="X35" s="39" t="s">
        <v>77</v>
      </c>
      <c r="Y35" s="39" t="s">
        <v>79</v>
      </c>
      <c r="Z35" s="39" t="s">
        <v>75</v>
      </c>
      <c r="AA35" s="39" t="s">
        <v>78</v>
      </c>
      <c r="AB35" s="39" t="s">
        <v>79</v>
      </c>
      <c r="AC35" s="39" t="s">
        <v>76</v>
      </c>
      <c r="AD35" s="39" t="s">
        <v>79</v>
      </c>
      <c r="AE35" s="39" t="s">
        <v>77</v>
      </c>
      <c r="AF35" s="39" t="s">
        <v>77</v>
      </c>
      <c r="AG35" s="39" t="s">
        <v>79</v>
      </c>
    </row>
    <row r="36">
      <c r="A36" s="39" t="s">
        <v>43</v>
      </c>
      <c r="B36" s="197">
        <v>3.0</v>
      </c>
      <c r="C36" s="197">
        <v>1.0</v>
      </c>
      <c r="D36" s="39" t="s">
        <v>75</v>
      </c>
      <c r="E36" s="39" t="s">
        <v>77</v>
      </c>
      <c r="F36" s="39" t="s">
        <v>75</v>
      </c>
      <c r="G36" s="39" t="s">
        <v>78</v>
      </c>
      <c r="H36" s="39" t="s">
        <v>77</v>
      </c>
      <c r="I36" s="39" t="s">
        <v>79</v>
      </c>
      <c r="J36" s="39" t="s">
        <v>76</v>
      </c>
      <c r="K36" s="39" t="s">
        <v>77</v>
      </c>
      <c r="L36" s="39" t="s">
        <v>75</v>
      </c>
      <c r="M36" s="39" t="s">
        <v>77</v>
      </c>
      <c r="N36" s="39" t="s">
        <v>78</v>
      </c>
      <c r="O36" s="39" t="s">
        <v>77</v>
      </c>
      <c r="P36" s="39" t="s">
        <v>75</v>
      </c>
      <c r="Q36" s="39" t="s">
        <v>77</v>
      </c>
      <c r="R36" s="39" t="s">
        <v>78</v>
      </c>
      <c r="S36" s="39" t="s">
        <v>76</v>
      </c>
      <c r="T36" s="39" t="s">
        <v>77</v>
      </c>
      <c r="U36" s="39" t="s">
        <v>77</v>
      </c>
      <c r="V36" s="39" t="s">
        <v>77</v>
      </c>
      <c r="W36" s="39" t="s">
        <v>78</v>
      </c>
      <c r="X36" s="39" t="s">
        <v>79</v>
      </c>
      <c r="Y36" s="39" t="s">
        <v>77</v>
      </c>
      <c r="Z36" s="39" t="s">
        <v>76</v>
      </c>
      <c r="AA36" s="39" t="s">
        <v>75</v>
      </c>
      <c r="AB36" s="39" t="s">
        <v>77</v>
      </c>
      <c r="AC36" s="39" t="s">
        <v>76</v>
      </c>
      <c r="AD36" s="39" t="s">
        <v>77</v>
      </c>
      <c r="AE36" s="39" t="s">
        <v>77</v>
      </c>
      <c r="AF36" s="39" t="s">
        <v>77</v>
      </c>
      <c r="AG36" s="39" t="s">
        <v>77</v>
      </c>
    </row>
    <row r="37">
      <c r="A37" s="39" t="s">
        <v>42</v>
      </c>
      <c r="B37" s="197">
        <v>3.0</v>
      </c>
      <c r="C37" s="197">
        <v>1.0</v>
      </c>
      <c r="D37" s="39" t="s">
        <v>76</v>
      </c>
      <c r="E37" s="39" t="s">
        <v>77</v>
      </c>
      <c r="F37" s="39" t="s">
        <v>75</v>
      </c>
      <c r="G37" s="39" t="s">
        <v>77</v>
      </c>
      <c r="H37" s="39" t="s">
        <v>79</v>
      </c>
      <c r="I37" s="39" t="s">
        <v>78</v>
      </c>
      <c r="J37" s="39" t="s">
        <v>76</v>
      </c>
      <c r="K37" s="39" t="s">
        <v>79</v>
      </c>
      <c r="L37" s="39" t="s">
        <v>76</v>
      </c>
      <c r="M37" s="39" t="s">
        <v>79</v>
      </c>
      <c r="N37" s="39" t="s">
        <v>77</v>
      </c>
      <c r="O37" s="39" t="s">
        <v>75</v>
      </c>
      <c r="P37" s="39" t="s">
        <v>76</v>
      </c>
      <c r="Q37" s="39" t="s">
        <v>79</v>
      </c>
      <c r="R37" s="39" t="s">
        <v>76</v>
      </c>
      <c r="S37" s="39" t="s">
        <v>76</v>
      </c>
      <c r="T37" s="39" t="s">
        <v>79</v>
      </c>
      <c r="U37" s="39" t="s">
        <v>77</v>
      </c>
      <c r="V37" s="39" t="s">
        <v>77</v>
      </c>
      <c r="W37" s="39" t="s">
        <v>79</v>
      </c>
      <c r="X37" s="39" t="s">
        <v>78</v>
      </c>
      <c r="Y37" s="39" t="s">
        <v>77</v>
      </c>
      <c r="Z37" s="39" t="s">
        <v>76</v>
      </c>
      <c r="AA37" s="39" t="s">
        <v>76</v>
      </c>
      <c r="AB37" s="39" t="s">
        <v>77</v>
      </c>
      <c r="AC37" s="39" t="s">
        <v>76</v>
      </c>
      <c r="AD37" s="39" t="s">
        <v>79</v>
      </c>
      <c r="AE37" s="39" t="s">
        <v>77</v>
      </c>
      <c r="AF37" s="39" t="s">
        <v>78</v>
      </c>
      <c r="AG37" s="39" t="s">
        <v>79</v>
      </c>
    </row>
    <row r="38">
      <c r="A38" s="39" t="s">
        <v>82</v>
      </c>
      <c r="B38" s="197">
        <v>4.0</v>
      </c>
      <c r="C38" s="197">
        <v>2.0</v>
      </c>
      <c r="D38" s="39" t="s">
        <v>77</v>
      </c>
      <c r="E38" s="39" t="s">
        <v>79</v>
      </c>
      <c r="F38" s="39" t="s">
        <v>77</v>
      </c>
      <c r="G38" s="39" t="s">
        <v>78</v>
      </c>
      <c r="H38" s="39" t="s">
        <v>79</v>
      </c>
      <c r="I38" s="39" t="s">
        <v>78</v>
      </c>
      <c r="J38" s="39" t="s">
        <v>79</v>
      </c>
      <c r="K38" s="39" t="s">
        <v>78</v>
      </c>
      <c r="L38" s="39" t="s">
        <v>75</v>
      </c>
      <c r="M38" s="39" t="s">
        <v>76</v>
      </c>
      <c r="N38" s="39" t="s">
        <v>75</v>
      </c>
      <c r="O38" s="39" t="s">
        <v>78</v>
      </c>
      <c r="P38" s="39" t="s">
        <v>77</v>
      </c>
      <c r="Q38" s="39" t="s">
        <v>77</v>
      </c>
      <c r="R38" s="39" t="s">
        <v>76</v>
      </c>
      <c r="S38" s="39" t="s">
        <v>76</v>
      </c>
      <c r="T38" s="39" t="s">
        <v>78</v>
      </c>
      <c r="U38" s="39" t="s">
        <v>75</v>
      </c>
      <c r="V38" s="39" t="s">
        <v>77</v>
      </c>
      <c r="W38" s="39" t="s">
        <v>79</v>
      </c>
      <c r="X38" s="39" t="s">
        <v>76</v>
      </c>
      <c r="Y38" s="39" t="s">
        <v>75</v>
      </c>
      <c r="Z38" s="39" t="s">
        <v>77</v>
      </c>
      <c r="AA38" s="39" t="s">
        <v>77</v>
      </c>
      <c r="AB38" s="39" t="s">
        <v>78</v>
      </c>
      <c r="AC38" s="39" t="s">
        <v>75</v>
      </c>
      <c r="AD38" s="39" t="s">
        <v>79</v>
      </c>
      <c r="AE38" s="39" t="s">
        <v>77</v>
      </c>
      <c r="AF38" s="39" t="s">
        <v>78</v>
      </c>
      <c r="AG38" s="39" t="s">
        <v>76</v>
      </c>
    </row>
    <row r="39">
      <c r="A39" s="39" t="s">
        <v>84</v>
      </c>
      <c r="B39" s="197">
        <v>4.0</v>
      </c>
      <c r="C39" s="197">
        <v>2.0</v>
      </c>
      <c r="D39" s="39" t="s">
        <v>77</v>
      </c>
      <c r="E39" s="39" t="s">
        <v>75</v>
      </c>
      <c r="F39" s="39" t="s">
        <v>78</v>
      </c>
      <c r="G39" s="39" t="s">
        <v>75</v>
      </c>
      <c r="H39" s="39" t="s">
        <v>77</v>
      </c>
      <c r="I39" s="39" t="s">
        <v>78</v>
      </c>
      <c r="J39" s="39" t="s">
        <v>79</v>
      </c>
      <c r="K39" s="39" t="s">
        <v>77</v>
      </c>
      <c r="L39" s="39" t="s">
        <v>75</v>
      </c>
      <c r="M39" s="39" t="s">
        <v>76</v>
      </c>
      <c r="N39" s="39" t="s">
        <v>79</v>
      </c>
      <c r="O39" s="39" t="s">
        <v>75</v>
      </c>
      <c r="P39" s="39" t="s">
        <v>79</v>
      </c>
      <c r="Q39" s="39" t="s">
        <v>79</v>
      </c>
      <c r="R39" s="39" t="s">
        <v>75</v>
      </c>
      <c r="S39" s="39" t="s">
        <v>75</v>
      </c>
      <c r="T39" s="39" t="s">
        <v>75</v>
      </c>
      <c r="U39" s="39" t="s">
        <v>78</v>
      </c>
      <c r="V39" s="39" t="s">
        <v>79</v>
      </c>
      <c r="W39" s="39" t="s">
        <v>77</v>
      </c>
      <c r="X39" s="39" t="s">
        <v>76</v>
      </c>
      <c r="Y39" s="39" t="s">
        <v>75</v>
      </c>
      <c r="Z39" s="39" t="s">
        <v>77</v>
      </c>
      <c r="AA39" s="39" t="s">
        <v>77</v>
      </c>
      <c r="AB39" s="39" t="s">
        <v>79</v>
      </c>
      <c r="AC39" s="39" t="s">
        <v>75</v>
      </c>
      <c r="AD39" s="39" t="s">
        <v>79</v>
      </c>
      <c r="AE39" s="39" t="s">
        <v>77</v>
      </c>
      <c r="AF39" s="39" t="s">
        <v>77</v>
      </c>
      <c r="AG39" s="39" t="s">
        <v>78</v>
      </c>
    </row>
    <row r="40">
      <c r="A40" s="39" t="s">
        <v>34</v>
      </c>
      <c r="B40" s="197">
        <v>4.0</v>
      </c>
      <c r="C40" s="197">
        <v>2.0</v>
      </c>
      <c r="D40" s="39" t="s">
        <v>79</v>
      </c>
      <c r="E40" s="39" t="s">
        <v>75</v>
      </c>
      <c r="F40" s="39" t="s">
        <v>77</v>
      </c>
      <c r="G40" s="39" t="s">
        <v>76</v>
      </c>
      <c r="H40" s="39" t="s">
        <v>79</v>
      </c>
      <c r="I40" s="39" t="s">
        <v>78</v>
      </c>
      <c r="J40" s="39" t="s">
        <v>77</v>
      </c>
      <c r="K40" s="39" t="s">
        <v>75</v>
      </c>
      <c r="L40" s="39" t="s">
        <v>78</v>
      </c>
      <c r="M40" s="39" t="s">
        <v>76</v>
      </c>
      <c r="N40" s="39" t="s">
        <v>79</v>
      </c>
      <c r="O40" s="39" t="s">
        <v>78</v>
      </c>
      <c r="P40" s="39" t="s">
        <v>77</v>
      </c>
      <c r="Q40" s="39" t="s">
        <v>79</v>
      </c>
      <c r="R40" s="39" t="s">
        <v>75</v>
      </c>
      <c r="S40" s="39" t="s">
        <v>76</v>
      </c>
      <c r="T40" s="39" t="s">
        <v>79</v>
      </c>
      <c r="U40" s="39" t="s">
        <v>75</v>
      </c>
      <c r="V40" s="39" t="s">
        <v>77</v>
      </c>
      <c r="W40" s="39" t="s">
        <v>78</v>
      </c>
      <c r="X40" s="39" t="s">
        <v>78</v>
      </c>
      <c r="Y40" s="39" t="s">
        <v>76</v>
      </c>
      <c r="Z40" s="39" t="s">
        <v>77</v>
      </c>
      <c r="AA40" s="39" t="s">
        <v>77</v>
      </c>
      <c r="AB40" s="39" t="s">
        <v>75</v>
      </c>
      <c r="AC40" s="39" t="s">
        <v>75</v>
      </c>
      <c r="AD40" s="39" t="s">
        <v>79</v>
      </c>
      <c r="AE40" s="39" t="s">
        <v>79</v>
      </c>
      <c r="AF40" s="39" t="s">
        <v>78</v>
      </c>
      <c r="AG40" s="39" t="s">
        <v>76</v>
      </c>
    </row>
    <row r="41">
      <c r="A41" s="39" t="s">
        <v>35</v>
      </c>
      <c r="B41" s="197">
        <v>4.0</v>
      </c>
      <c r="C41" s="197">
        <v>2.0</v>
      </c>
      <c r="D41" s="39" t="s">
        <v>77</v>
      </c>
      <c r="E41" s="39" t="s">
        <v>78</v>
      </c>
      <c r="F41" s="39" t="s">
        <v>78</v>
      </c>
      <c r="G41" s="39" t="s">
        <v>75</v>
      </c>
      <c r="H41" s="39" t="s">
        <v>79</v>
      </c>
      <c r="I41" s="39" t="s">
        <v>78</v>
      </c>
      <c r="J41" s="39" t="s">
        <v>79</v>
      </c>
      <c r="K41" s="39" t="s">
        <v>78</v>
      </c>
      <c r="L41" s="39" t="s">
        <v>76</v>
      </c>
      <c r="M41" s="39" t="s">
        <v>76</v>
      </c>
      <c r="N41" s="39" t="s">
        <v>78</v>
      </c>
      <c r="O41" s="39" t="s">
        <v>79</v>
      </c>
      <c r="P41" s="39" t="s">
        <v>77</v>
      </c>
      <c r="Q41" s="39" t="s">
        <v>77</v>
      </c>
      <c r="R41" s="39" t="s">
        <v>75</v>
      </c>
      <c r="S41" s="39" t="s">
        <v>75</v>
      </c>
      <c r="T41" s="39" t="s">
        <v>78</v>
      </c>
      <c r="U41" s="39" t="s">
        <v>75</v>
      </c>
      <c r="V41" s="39" t="s">
        <v>79</v>
      </c>
      <c r="W41" s="39" t="s">
        <v>79</v>
      </c>
      <c r="X41" s="39" t="s">
        <v>76</v>
      </c>
      <c r="Y41" s="39" t="s">
        <v>76</v>
      </c>
      <c r="Z41" s="39" t="s">
        <v>79</v>
      </c>
      <c r="AA41" s="39" t="s">
        <v>79</v>
      </c>
      <c r="AB41" s="39" t="s">
        <v>78</v>
      </c>
      <c r="AC41" s="39" t="s">
        <v>75</v>
      </c>
      <c r="AD41" s="39" t="s">
        <v>77</v>
      </c>
      <c r="AE41" s="39" t="s">
        <v>79</v>
      </c>
      <c r="AF41" s="39" t="s">
        <v>77</v>
      </c>
      <c r="AG41" s="39" t="s">
        <v>75</v>
      </c>
    </row>
    <row r="42">
      <c r="A42" s="39" t="s">
        <v>36</v>
      </c>
      <c r="B42" s="197">
        <v>4.0</v>
      </c>
      <c r="C42" s="197">
        <v>2.0</v>
      </c>
      <c r="D42" s="39" t="s">
        <v>77</v>
      </c>
      <c r="E42" s="39" t="s">
        <v>77</v>
      </c>
      <c r="F42" s="39" t="s">
        <v>77</v>
      </c>
      <c r="G42" s="39" t="s">
        <v>78</v>
      </c>
      <c r="H42" s="39" t="s">
        <v>77</v>
      </c>
      <c r="I42" s="39" t="s">
        <v>79</v>
      </c>
      <c r="J42" s="39" t="s">
        <v>79</v>
      </c>
      <c r="K42" s="39" t="s">
        <v>77</v>
      </c>
      <c r="L42" s="39" t="s">
        <v>75</v>
      </c>
      <c r="M42" s="39" t="s">
        <v>76</v>
      </c>
      <c r="N42" s="39" t="s">
        <v>76</v>
      </c>
      <c r="O42" s="39" t="s">
        <v>77</v>
      </c>
      <c r="P42" s="39" t="s">
        <v>77</v>
      </c>
      <c r="Q42" s="39" t="s">
        <v>78</v>
      </c>
      <c r="R42" s="39" t="s">
        <v>76</v>
      </c>
      <c r="S42" s="39" t="s">
        <v>78</v>
      </c>
      <c r="T42" s="39" t="s">
        <v>79</v>
      </c>
      <c r="U42" s="39" t="s">
        <v>75</v>
      </c>
      <c r="V42" s="39" t="s">
        <v>78</v>
      </c>
      <c r="W42" s="39" t="s">
        <v>77</v>
      </c>
      <c r="X42" s="39" t="s">
        <v>76</v>
      </c>
      <c r="Y42" s="39" t="s">
        <v>75</v>
      </c>
      <c r="Z42" s="39" t="s">
        <v>79</v>
      </c>
      <c r="AA42" s="39" t="s">
        <v>77</v>
      </c>
      <c r="AB42" s="39" t="s">
        <v>79</v>
      </c>
      <c r="AC42" s="39" t="s">
        <v>78</v>
      </c>
      <c r="AD42" s="39" t="s">
        <v>79</v>
      </c>
      <c r="AE42" s="39" t="s">
        <v>79</v>
      </c>
      <c r="AF42" s="39" t="s">
        <v>75</v>
      </c>
      <c r="AG42" s="39" t="s">
        <v>78</v>
      </c>
    </row>
    <row r="43">
      <c r="A43" s="39" t="s">
        <v>99</v>
      </c>
      <c r="B43" s="197">
        <v>4.0</v>
      </c>
      <c r="C43" s="197">
        <v>2.0</v>
      </c>
      <c r="D43" s="39" t="s">
        <v>77</v>
      </c>
      <c r="E43" s="39" t="s">
        <v>78</v>
      </c>
      <c r="F43" s="39" t="s">
        <v>75</v>
      </c>
      <c r="G43" s="39" t="s">
        <v>76</v>
      </c>
      <c r="H43" s="39" t="s">
        <v>75</v>
      </c>
      <c r="I43" s="39" t="s">
        <v>76</v>
      </c>
      <c r="J43" s="39" t="s">
        <v>77</v>
      </c>
      <c r="K43" s="39" t="s">
        <v>75</v>
      </c>
      <c r="L43" s="39" t="s">
        <v>76</v>
      </c>
      <c r="M43" s="39" t="s">
        <v>76</v>
      </c>
      <c r="N43" s="39" t="s">
        <v>78</v>
      </c>
      <c r="O43" s="39" t="s">
        <v>75</v>
      </c>
      <c r="P43" s="39" t="s">
        <v>76</v>
      </c>
      <c r="Q43" s="39" t="s">
        <v>78</v>
      </c>
      <c r="R43" s="39" t="s">
        <v>76</v>
      </c>
      <c r="S43" s="39" t="s">
        <v>76</v>
      </c>
      <c r="T43" s="39" t="s">
        <v>75</v>
      </c>
      <c r="U43" s="39" t="s">
        <v>75</v>
      </c>
      <c r="V43" s="39" t="s">
        <v>78</v>
      </c>
      <c r="W43" s="39" t="s">
        <v>75</v>
      </c>
      <c r="X43" s="39" t="s">
        <v>76</v>
      </c>
      <c r="Y43" s="39" t="s">
        <v>75</v>
      </c>
      <c r="Z43" s="39" t="s">
        <v>79</v>
      </c>
      <c r="AA43" s="39" t="s">
        <v>77</v>
      </c>
      <c r="AB43" s="39" t="s">
        <v>78</v>
      </c>
      <c r="AC43" s="39" t="s">
        <v>79</v>
      </c>
      <c r="AD43" s="39" t="s">
        <v>77</v>
      </c>
      <c r="AE43" s="39" t="s">
        <v>79</v>
      </c>
      <c r="AF43" s="39" t="s">
        <v>78</v>
      </c>
      <c r="AG43" s="39" t="s">
        <v>78</v>
      </c>
    </row>
    <row r="44">
      <c r="A44" s="39" t="s">
        <v>38</v>
      </c>
      <c r="B44" s="197">
        <v>4.0</v>
      </c>
      <c r="C44" s="197">
        <v>1.0</v>
      </c>
      <c r="D44" s="39" t="s">
        <v>79</v>
      </c>
      <c r="E44" s="39" t="s">
        <v>77</v>
      </c>
      <c r="F44" s="39" t="s">
        <v>79</v>
      </c>
      <c r="G44" s="39" t="s">
        <v>78</v>
      </c>
      <c r="H44" s="39" t="s">
        <v>77</v>
      </c>
      <c r="I44" s="39" t="s">
        <v>78</v>
      </c>
      <c r="J44" s="39" t="s">
        <v>77</v>
      </c>
      <c r="K44" s="39" t="s">
        <v>77</v>
      </c>
      <c r="L44" s="39" t="s">
        <v>78</v>
      </c>
      <c r="M44" s="39" t="s">
        <v>76</v>
      </c>
      <c r="N44" s="39" t="s">
        <v>77</v>
      </c>
      <c r="O44" s="39" t="s">
        <v>75</v>
      </c>
      <c r="P44" s="39" t="s">
        <v>77</v>
      </c>
      <c r="Q44" s="39" t="s">
        <v>77</v>
      </c>
      <c r="R44" s="39" t="s">
        <v>76</v>
      </c>
      <c r="S44" s="39" t="s">
        <v>76</v>
      </c>
      <c r="T44" s="39" t="s">
        <v>77</v>
      </c>
      <c r="U44" s="39" t="s">
        <v>76</v>
      </c>
      <c r="V44" s="39" t="s">
        <v>78</v>
      </c>
      <c r="W44" s="39" t="s">
        <v>77</v>
      </c>
      <c r="X44" s="39" t="s">
        <v>76</v>
      </c>
      <c r="Y44" s="39" t="s">
        <v>76</v>
      </c>
      <c r="Z44" s="39" t="s">
        <v>75</v>
      </c>
      <c r="AA44" s="39" t="s">
        <v>79</v>
      </c>
      <c r="AB44" s="39" t="s">
        <v>79</v>
      </c>
      <c r="AC44" s="39" t="s">
        <v>76</v>
      </c>
      <c r="AD44" s="39" t="s">
        <v>77</v>
      </c>
      <c r="AE44" s="39" t="s">
        <v>77</v>
      </c>
      <c r="AF44" s="39" t="s">
        <v>79</v>
      </c>
      <c r="AG44" s="39" t="s">
        <v>76</v>
      </c>
    </row>
    <row r="45">
      <c r="A45" s="39" t="s">
        <v>39</v>
      </c>
      <c r="B45" s="197">
        <v>4.0</v>
      </c>
      <c r="C45" s="197">
        <v>1.0</v>
      </c>
      <c r="D45" s="39" t="s">
        <v>75</v>
      </c>
      <c r="E45" s="39" t="s">
        <v>78</v>
      </c>
      <c r="F45" s="39" t="s">
        <v>75</v>
      </c>
      <c r="G45" s="39" t="s">
        <v>79</v>
      </c>
      <c r="H45" s="39" t="s">
        <v>78</v>
      </c>
      <c r="I45" s="39" t="s">
        <v>75</v>
      </c>
      <c r="J45" s="39" t="s">
        <v>78</v>
      </c>
      <c r="K45" s="39" t="s">
        <v>79</v>
      </c>
      <c r="L45" s="39" t="s">
        <v>75</v>
      </c>
      <c r="M45" s="39" t="s">
        <v>76</v>
      </c>
      <c r="N45" s="39" t="s">
        <v>79</v>
      </c>
      <c r="O45" s="39" t="s">
        <v>75</v>
      </c>
      <c r="P45" s="39" t="s">
        <v>79</v>
      </c>
      <c r="Q45" s="39" t="s">
        <v>77</v>
      </c>
      <c r="R45" s="39" t="s">
        <v>75</v>
      </c>
      <c r="S45" s="39" t="s">
        <v>75</v>
      </c>
      <c r="T45" s="39" t="s">
        <v>75</v>
      </c>
      <c r="U45" s="39" t="s">
        <v>78</v>
      </c>
      <c r="V45" s="39" t="s">
        <v>79</v>
      </c>
      <c r="W45" s="39" t="s">
        <v>79</v>
      </c>
      <c r="X45" s="39" t="s">
        <v>75</v>
      </c>
      <c r="Y45" s="39" t="s">
        <v>78</v>
      </c>
      <c r="Z45" s="39" t="s">
        <v>75</v>
      </c>
      <c r="AA45" s="39" t="s">
        <v>78</v>
      </c>
      <c r="AB45" s="39" t="s">
        <v>79</v>
      </c>
      <c r="AC45" s="39" t="s">
        <v>75</v>
      </c>
      <c r="AD45" s="39" t="s">
        <v>78</v>
      </c>
      <c r="AE45" s="39" t="s">
        <v>77</v>
      </c>
      <c r="AF45" s="39" t="s">
        <v>79</v>
      </c>
      <c r="AG45" s="39" t="s">
        <v>75</v>
      </c>
    </row>
    <row r="46">
      <c r="A46" s="39" t="s">
        <v>40</v>
      </c>
      <c r="B46" s="197">
        <v>4.0</v>
      </c>
      <c r="C46" s="197">
        <v>1.0</v>
      </c>
      <c r="D46" s="39" t="s">
        <v>77</v>
      </c>
      <c r="E46" s="39" t="s">
        <v>77</v>
      </c>
      <c r="F46" s="39" t="s">
        <v>77</v>
      </c>
      <c r="G46" s="39" t="s">
        <v>77</v>
      </c>
      <c r="H46" s="39" t="s">
        <v>77</v>
      </c>
      <c r="I46" s="39" t="s">
        <v>77</v>
      </c>
      <c r="J46" s="39" t="s">
        <v>77</v>
      </c>
      <c r="K46" s="39" t="s">
        <v>77</v>
      </c>
      <c r="L46" s="39" t="s">
        <v>79</v>
      </c>
      <c r="M46" s="39" t="s">
        <v>78</v>
      </c>
      <c r="N46" s="39" t="s">
        <v>77</v>
      </c>
      <c r="O46" s="39" t="s">
        <v>78</v>
      </c>
      <c r="P46" s="39" t="s">
        <v>77</v>
      </c>
      <c r="Q46" s="39" t="s">
        <v>77</v>
      </c>
      <c r="R46" s="39" t="s">
        <v>78</v>
      </c>
      <c r="S46" s="39" t="s">
        <v>78</v>
      </c>
      <c r="T46" s="39" t="s">
        <v>75</v>
      </c>
      <c r="U46" s="39" t="s">
        <v>78</v>
      </c>
      <c r="V46" s="39" t="s">
        <v>78</v>
      </c>
      <c r="W46" s="39" t="s">
        <v>78</v>
      </c>
      <c r="X46" s="39" t="s">
        <v>75</v>
      </c>
      <c r="Y46" s="39" t="s">
        <v>75</v>
      </c>
      <c r="Z46" s="39" t="s">
        <v>77</v>
      </c>
      <c r="AA46" s="39" t="s">
        <v>79</v>
      </c>
      <c r="AB46" s="39" t="s">
        <v>78</v>
      </c>
      <c r="AC46" s="39" t="s">
        <v>75</v>
      </c>
      <c r="AD46" s="39" t="s">
        <v>79</v>
      </c>
      <c r="AE46" s="39" t="s">
        <v>77</v>
      </c>
      <c r="AF46" s="39" t="s">
        <v>79</v>
      </c>
      <c r="AG46" s="39" t="s">
        <v>79</v>
      </c>
    </row>
    <row r="47">
      <c r="A47" s="39" t="s">
        <v>41</v>
      </c>
      <c r="B47" s="197">
        <v>4.0</v>
      </c>
      <c r="C47" s="197">
        <v>1.0</v>
      </c>
      <c r="D47" s="39" t="s">
        <v>77</v>
      </c>
      <c r="E47" s="39" t="s">
        <v>77</v>
      </c>
      <c r="F47" s="39" t="s">
        <v>77</v>
      </c>
      <c r="G47" s="39" t="s">
        <v>76</v>
      </c>
      <c r="H47" s="39" t="s">
        <v>79</v>
      </c>
      <c r="I47" s="39" t="s">
        <v>79</v>
      </c>
      <c r="J47" s="39" t="s">
        <v>78</v>
      </c>
      <c r="K47" s="39" t="s">
        <v>77</v>
      </c>
      <c r="L47" s="39" t="s">
        <v>78</v>
      </c>
      <c r="M47" s="39" t="s">
        <v>76</v>
      </c>
      <c r="N47" s="39" t="s">
        <v>79</v>
      </c>
      <c r="O47" s="39" t="s">
        <v>78</v>
      </c>
      <c r="P47" s="39" t="s">
        <v>78</v>
      </c>
      <c r="Q47" s="39" t="s">
        <v>77</v>
      </c>
      <c r="R47" s="39" t="s">
        <v>76</v>
      </c>
      <c r="S47" s="39" t="s">
        <v>75</v>
      </c>
      <c r="T47" s="39" t="s">
        <v>78</v>
      </c>
      <c r="U47" s="39" t="s">
        <v>78</v>
      </c>
      <c r="V47" s="39" t="s">
        <v>79</v>
      </c>
      <c r="W47" s="39" t="s">
        <v>77</v>
      </c>
      <c r="X47" s="39" t="s">
        <v>75</v>
      </c>
      <c r="Y47" s="39" t="s">
        <v>76</v>
      </c>
      <c r="Z47" s="39" t="s">
        <v>79</v>
      </c>
      <c r="AA47" s="39" t="s">
        <v>77</v>
      </c>
      <c r="AB47" s="39" t="s">
        <v>79</v>
      </c>
      <c r="AC47" s="39" t="s">
        <v>75</v>
      </c>
      <c r="AD47" s="39" t="s">
        <v>79</v>
      </c>
      <c r="AE47" s="39" t="s">
        <v>79</v>
      </c>
      <c r="AF47" s="39" t="s">
        <v>78</v>
      </c>
      <c r="AG47" s="39" t="s">
        <v>78</v>
      </c>
    </row>
    <row r="48">
      <c r="A48" s="39" t="s">
        <v>42</v>
      </c>
      <c r="B48" s="197">
        <v>4.0</v>
      </c>
      <c r="C48" s="197">
        <v>1.0</v>
      </c>
      <c r="D48" s="39" t="s">
        <v>79</v>
      </c>
      <c r="E48" s="39" t="s">
        <v>75</v>
      </c>
      <c r="F48" s="39" t="s">
        <v>77</v>
      </c>
      <c r="G48" s="39" t="s">
        <v>79</v>
      </c>
      <c r="H48" s="39" t="s">
        <v>77</v>
      </c>
      <c r="I48" s="39" t="s">
        <v>78</v>
      </c>
      <c r="J48" s="39" t="s">
        <v>79</v>
      </c>
      <c r="K48" s="39" t="s">
        <v>77</v>
      </c>
      <c r="L48" s="39" t="s">
        <v>78</v>
      </c>
      <c r="M48" s="39" t="s">
        <v>76</v>
      </c>
      <c r="N48" s="39" t="s">
        <v>79</v>
      </c>
      <c r="O48" s="39" t="s">
        <v>75</v>
      </c>
      <c r="P48" s="39" t="s">
        <v>77</v>
      </c>
      <c r="Q48" s="39" t="s">
        <v>79</v>
      </c>
      <c r="R48" s="39" t="s">
        <v>76</v>
      </c>
      <c r="S48" s="39" t="s">
        <v>76</v>
      </c>
      <c r="T48" s="39" t="s">
        <v>75</v>
      </c>
      <c r="U48" s="39" t="s">
        <v>76</v>
      </c>
      <c r="V48" s="39" t="s">
        <v>78</v>
      </c>
      <c r="W48" s="39" t="s">
        <v>78</v>
      </c>
      <c r="X48" s="39" t="s">
        <v>76</v>
      </c>
      <c r="Y48" s="39" t="s">
        <v>75</v>
      </c>
      <c r="Z48" s="39" t="s">
        <v>79</v>
      </c>
      <c r="AA48" s="39" t="s">
        <v>77</v>
      </c>
      <c r="AB48" s="39" t="s">
        <v>78</v>
      </c>
      <c r="AC48" s="39" t="s">
        <v>75</v>
      </c>
      <c r="AD48" s="39" t="s">
        <v>77</v>
      </c>
      <c r="AE48" s="39" t="s">
        <v>79</v>
      </c>
      <c r="AF48" s="39" t="s">
        <v>79</v>
      </c>
      <c r="AG48" s="39" t="s">
        <v>76</v>
      </c>
    </row>
    <row r="49">
      <c r="A49" s="39" t="s">
        <v>43</v>
      </c>
      <c r="B49" s="197">
        <v>4.0</v>
      </c>
      <c r="C49" s="197">
        <v>1.0</v>
      </c>
      <c r="D49" s="39" t="s">
        <v>77</v>
      </c>
      <c r="E49" s="39" t="s">
        <v>77</v>
      </c>
      <c r="F49" s="39" t="s">
        <v>77</v>
      </c>
      <c r="G49" s="39" t="s">
        <v>78</v>
      </c>
      <c r="H49" s="39" t="s">
        <v>79</v>
      </c>
      <c r="I49" s="39" t="s">
        <v>75</v>
      </c>
      <c r="J49" s="39" t="s">
        <v>78</v>
      </c>
      <c r="K49" s="39" t="s">
        <v>77</v>
      </c>
      <c r="L49" s="39" t="s">
        <v>75</v>
      </c>
      <c r="M49" s="39" t="s">
        <v>76</v>
      </c>
      <c r="N49" s="39" t="s">
        <v>78</v>
      </c>
      <c r="O49" s="39" t="s">
        <v>79</v>
      </c>
      <c r="P49" s="39" t="s">
        <v>79</v>
      </c>
      <c r="Q49" s="39" t="s">
        <v>78</v>
      </c>
      <c r="R49" s="39" t="s">
        <v>76</v>
      </c>
      <c r="S49" s="39" t="s">
        <v>76</v>
      </c>
      <c r="T49" s="39" t="s">
        <v>75</v>
      </c>
      <c r="U49" s="39" t="s">
        <v>75</v>
      </c>
      <c r="V49" s="39" t="s">
        <v>77</v>
      </c>
      <c r="W49" s="39" t="s">
        <v>78</v>
      </c>
      <c r="X49" s="39" t="s">
        <v>76</v>
      </c>
      <c r="Y49" s="39" t="s">
        <v>76</v>
      </c>
      <c r="Z49" s="39" t="s">
        <v>77</v>
      </c>
      <c r="AA49" s="39" t="s">
        <v>77</v>
      </c>
      <c r="AB49" s="39" t="s">
        <v>79</v>
      </c>
      <c r="AC49" s="39" t="s">
        <v>78</v>
      </c>
      <c r="AD49" s="39" t="s">
        <v>77</v>
      </c>
      <c r="AE49" s="39" t="s">
        <v>77</v>
      </c>
      <c r="AF49" s="39" t="s">
        <v>78</v>
      </c>
      <c r="AG49" s="39" t="s">
        <v>75</v>
      </c>
    </row>
    <row r="50">
      <c r="A50" s="39" t="s">
        <v>82</v>
      </c>
      <c r="B50" s="197">
        <v>5.0</v>
      </c>
      <c r="C50" s="197">
        <v>2.0</v>
      </c>
      <c r="D50" s="39" t="s">
        <v>76</v>
      </c>
      <c r="E50" s="39" t="s">
        <v>76</v>
      </c>
      <c r="F50" s="39" t="s">
        <v>77</v>
      </c>
      <c r="G50" s="39" t="s">
        <v>79</v>
      </c>
      <c r="H50" s="39" t="s">
        <v>78</v>
      </c>
      <c r="I50" s="39" t="s">
        <v>79</v>
      </c>
      <c r="J50" s="39" t="s">
        <v>77</v>
      </c>
      <c r="K50" s="39" t="s">
        <v>78</v>
      </c>
      <c r="L50" s="39" t="s">
        <v>75</v>
      </c>
      <c r="M50" s="39" t="s">
        <v>77</v>
      </c>
      <c r="N50" s="39" t="s">
        <v>76</v>
      </c>
      <c r="O50" s="39" t="s">
        <v>75</v>
      </c>
      <c r="P50" s="39" t="s">
        <v>78</v>
      </c>
      <c r="Q50" s="39" t="s">
        <v>79</v>
      </c>
      <c r="R50" s="39" t="s">
        <v>76</v>
      </c>
      <c r="S50" s="39" t="s">
        <v>77</v>
      </c>
      <c r="T50" s="39" t="s">
        <v>79</v>
      </c>
      <c r="U50" s="39" t="s">
        <v>75</v>
      </c>
      <c r="V50" s="39" t="s">
        <v>75</v>
      </c>
      <c r="W50" s="39" t="s">
        <v>79</v>
      </c>
      <c r="X50" s="39" t="s">
        <v>78</v>
      </c>
      <c r="Y50" s="39" t="s">
        <v>77</v>
      </c>
      <c r="Z50" s="39" t="s">
        <v>78</v>
      </c>
      <c r="AA50" s="39" t="s">
        <v>78</v>
      </c>
      <c r="AB50" s="39" t="s">
        <v>75</v>
      </c>
      <c r="AC50" s="39" t="s">
        <v>77</v>
      </c>
      <c r="AD50" s="39" t="s">
        <v>79</v>
      </c>
      <c r="AE50" s="39" t="s">
        <v>78</v>
      </c>
      <c r="AF50" s="39" t="s">
        <v>75</v>
      </c>
      <c r="AG50" s="39" t="s">
        <v>78</v>
      </c>
    </row>
    <row r="51">
      <c r="A51" s="39" t="s">
        <v>84</v>
      </c>
      <c r="B51" s="197">
        <v>5.0</v>
      </c>
      <c r="C51" s="197">
        <v>2.0</v>
      </c>
      <c r="D51" s="39" t="s">
        <v>75</v>
      </c>
      <c r="E51" s="39" t="s">
        <v>78</v>
      </c>
      <c r="F51" s="39" t="s">
        <v>78</v>
      </c>
      <c r="G51" s="39" t="s">
        <v>75</v>
      </c>
      <c r="H51" s="39" t="s">
        <v>79</v>
      </c>
      <c r="I51" s="39" t="s">
        <v>79</v>
      </c>
      <c r="J51" s="39" t="s">
        <v>77</v>
      </c>
      <c r="K51" s="39" t="s">
        <v>78</v>
      </c>
      <c r="L51" s="39" t="s">
        <v>75</v>
      </c>
      <c r="M51" s="39" t="s">
        <v>79</v>
      </c>
      <c r="N51" s="39" t="s">
        <v>75</v>
      </c>
      <c r="O51" s="39" t="s">
        <v>79</v>
      </c>
      <c r="P51" s="39" t="s">
        <v>78</v>
      </c>
      <c r="Q51" s="39" t="s">
        <v>79</v>
      </c>
      <c r="R51" s="39" t="s">
        <v>76</v>
      </c>
      <c r="S51" s="39" t="s">
        <v>79</v>
      </c>
      <c r="T51" s="39" t="s">
        <v>78</v>
      </c>
      <c r="U51" s="39" t="s">
        <v>75</v>
      </c>
      <c r="V51" s="39" t="s">
        <v>75</v>
      </c>
      <c r="W51" s="39" t="s">
        <v>77</v>
      </c>
      <c r="X51" s="39" t="s">
        <v>79</v>
      </c>
      <c r="Y51" s="39" t="s">
        <v>77</v>
      </c>
      <c r="Z51" s="39" t="s">
        <v>76</v>
      </c>
      <c r="AA51" s="39" t="s">
        <v>77</v>
      </c>
      <c r="AB51" s="39" t="s">
        <v>78</v>
      </c>
      <c r="AC51" s="39" t="s">
        <v>77</v>
      </c>
      <c r="AD51" s="39" t="s">
        <v>78</v>
      </c>
      <c r="AE51" s="39" t="s">
        <v>77</v>
      </c>
      <c r="AF51" s="39" t="s">
        <v>77</v>
      </c>
      <c r="AG51" s="39" t="s">
        <v>77</v>
      </c>
    </row>
    <row r="52">
      <c r="A52" s="39" t="s">
        <v>100</v>
      </c>
      <c r="B52" s="197">
        <v>5.0</v>
      </c>
      <c r="C52" s="197">
        <v>2.0</v>
      </c>
      <c r="D52" s="39" t="s">
        <v>76</v>
      </c>
      <c r="E52" s="39" t="s">
        <v>78</v>
      </c>
      <c r="F52" s="39" t="s">
        <v>77</v>
      </c>
      <c r="G52" s="39" t="s">
        <v>79</v>
      </c>
      <c r="H52" s="39" t="s">
        <v>77</v>
      </c>
      <c r="I52" s="39" t="s">
        <v>78</v>
      </c>
      <c r="J52" s="39" t="s">
        <v>79</v>
      </c>
      <c r="K52" s="39" t="s">
        <v>75</v>
      </c>
      <c r="L52" s="39" t="s">
        <v>75</v>
      </c>
      <c r="M52" s="39" t="s">
        <v>77</v>
      </c>
      <c r="N52" s="39" t="s">
        <v>76</v>
      </c>
      <c r="O52" s="39" t="s">
        <v>78</v>
      </c>
      <c r="P52" s="39" t="s">
        <v>75</v>
      </c>
      <c r="Q52" s="39" t="s">
        <v>75</v>
      </c>
      <c r="R52" s="39" t="s">
        <v>76</v>
      </c>
      <c r="S52" s="39" t="s">
        <v>77</v>
      </c>
      <c r="T52" s="39" t="s">
        <v>79</v>
      </c>
      <c r="U52" s="39" t="s">
        <v>75</v>
      </c>
      <c r="V52" s="39" t="s">
        <v>76</v>
      </c>
      <c r="W52" s="39" t="s">
        <v>77</v>
      </c>
      <c r="X52" s="39" t="s">
        <v>78</v>
      </c>
      <c r="Y52" s="39" t="s">
        <v>79</v>
      </c>
      <c r="Z52" s="39" t="s">
        <v>78</v>
      </c>
      <c r="AA52" s="39" t="s">
        <v>77</v>
      </c>
      <c r="AB52" s="39" t="s">
        <v>75</v>
      </c>
      <c r="AC52" s="39" t="s">
        <v>79</v>
      </c>
      <c r="AD52" s="39" t="s">
        <v>78</v>
      </c>
      <c r="AE52" s="39" t="s">
        <v>76</v>
      </c>
      <c r="AF52" s="39" t="s">
        <v>75</v>
      </c>
      <c r="AG52" s="39" t="s">
        <v>79</v>
      </c>
    </row>
    <row r="53">
      <c r="A53" s="39" t="s">
        <v>35</v>
      </c>
      <c r="B53" s="197">
        <v>5.0</v>
      </c>
      <c r="C53" s="197">
        <v>2.0</v>
      </c>
      <c r="D53" s="39" t="s">
        <v>76</v>
      </c>
      <c r="E53" s="39" t="s">
        <v>75</v>
      </c>
      <c r="F53" s="39" t="s">
        <v>79</v>
      </c>
      <c r="G53" s="39" t="s">
        <v>78</v>
      </c>
      <c r="H53" s="39" t="s">
        <v>79</v>
      </c>
      <c r="I53" s="39" t="s">
        <v>78</v>
      </c>
      <c r="J53" s="39" t="s">
        <v>77</v>
      </c>
      <c r="K53" s="39" t="s">
        <v>79</v>
      </c>
      <c r="L53" s="39" t="s">
        <v>75</v>
      </c>
      <c r="M53" s="39" t="s">
        <v>77</v>
      </c>
      <c r="N53" s="39" t="s">
        <v>76</v>
      </c>
      <c r="O53" s="39" t="s">
        <v>78</v>
      </c>
      <c r="P53" s="39" t="s">
        <v>75</v>
      </c>
      <c r="Q53" s="39" t="s">
        <v>77</v>
      </c>
      <c r="R53" s="39" t="s">
        <v>76</v>
      </c>
      <c r="S53" s="39" t="s">
        <v>77</v>
      </c>
      <c r="T53" s="39" t="s">
        <v>79</v>
      </c>
      <c r="U53" s="39" t="s">
        <v>76</v>
      </c>
      <c r="V53" s="39" t="s">
        <v>75</v>
      </c>
      <c r="W53" s="39" t="s">
        <v>77</v>
      </c>
      <c r="X53" s="39" t="s">
        <v>79</v>
      </c>
      <c r="Y53" s="39" t="s">
        <v>78</v>
      </c>
      <c r="Z53" s="39" t="s">
        <v>76</v>
      </c>
      <c r="AA53" s="39" t="s">
        <v>79</v>
      </c>
      <c r="AB53" s="39" t="s">
        <v>75</v>
      </c>
      <c r="AC53" s="39" t="s">
        <v>79</v>
      </c>
      <c r="AD53" s="39" t="s">
        <v>78</v>
      </c>
      <c r="AE53" s="39" t="s">
        <v>79</v>
      </c>
      <c r="AF53" s="39" t="s">
        <v>78</v>
      </c>
      <c r="AG53" s="39" t="s">
        <v>79</v>
      </c>
    </row>
    <row r="54">
      <c r="A54" s="39" t="s">
        <v>36</v>
      </c>
      <c r="B54" s="197">
        <v>5.0</v>
      </c>
      <c r="C54" s="197">
        <v>2.0</v>
      </c>
      <c r="D54" s="39" t="s">
        <v>75</v>
      </c>
      <c r="E54" s="39" t="s">
        <v>79</v>
      </c>
      <c r="F54" s="39" t="s">
        <v>77</v>
      </c>
      <c r="G54" s="39" t="s">
        <v>76</v>
      </c>
      <c r="H54" s="39" t="s">
        <v>79</v>
      </c>
      <c r="I54" s="39" t="s">
        <v>77</v>
      </c>
      <c r="J54" s="39" t="s">
        <v>79</v>
      </c>
      <c r="K54" s="39" t="s">
        <v>78</v>
      </c>
      <c r="L54" s="39" t="s">
        <v>76</v>
      </c>
      <c r="M54" s="39" t="s">
        <v>79</v>
      </c>
      <c r="N54" s="39" t="s">
        <v>75</v>
      </c>
      <c r="O54" s="39" t="s">
        <v>78</v>
      </c>
      <c r="P54" s="39" t="s">
        <v>78</v>
      </c>
      <c r="Q54" s="39" t="s">
        <v>77</v>
      </c>
      <c r="R54" s="39" t="s">
        <v>76</v>
      </c>
      <c r="S54" s="39" t="s">
        <v>77</v>
      </c>
      <c r="T54" s="39" t="s">
        <v>77</v>
      </c>
      <c r="U54" s="39" t="s">
        <v>75</v>
      </c>
      <c r="V54" s="39" t="s">
        <v>75</v>
      </c>
      <c r="W54" s="39" t="s">
        <v>77</v>
      </c>
      <c r="X54" s="39" t="s">
        <v>79</v>
      </c>
      <c r="Y54" s="39" t="s">
        <v>77</v>
      </c>
      <c r="Z54" s="39" t="s">
        <v>78</v>
      </c>
      <c r="AA54" s="39" t="s">
        <v>79</v>
      </c>
      <c r="AB54" s="39" t="s">
        <v>79</v>
      </c>
      <c r="AC54" s="39" t="s">
        <v>75</v>
      </c>
      <c r="AD54" s="39" t="s">
        <v>78</v>
      </c>
      <c r="AE54" s="39" t="s">
        <v>79</v>
      </c>
      <c r="AF54" s="39" t="s">
        <v>78</v>
      </c>
      <c r="AG54" s="39" t="s">
        <v>75</v>
      </c>
    </row>
    <row r="55">
      <c r="A55" s="39" t="s">
        <v>37</v>
      </c>
      <c r="B55" s="197">
        <v>5.0</v>
      </c>
      <c r="C55" s="197">
        <v>2.0</v>
      </c>
      <c r="D55" s="39" t="s">
        <v>75</v>
      </c>
      <c r="E55" s="39" t="s">
        <v>78</v>
      </c>
      <c r="F55" s="39" t="s">
        <v>79</v>
      </c>
      <c r="G55" s="39" t="s">
        <v>76</v>
      </c>
      <c r="H55" s="39" t="s">
        <v>76</v>
      </c>
      <c r="I55" s="39" t="s">
        <v>75</v>
      </c>
      <c r="J55" s="39" t="s">
        <v>77</v>
      </c>
      <c r="K55" s="39" t="s">
        <v>76</v>
      </c>
      <c r="L55" s="39" t="s">
        <v>75</v>
      </c>
      <c r="M55" s="39" t="s">
        <v>78</v>
      </c>
      <c r="N55" s="39" t="s">
        <v>76</v>
      </c>
      <c r="O55" s="39" t="s">
        <v>75</v>
      </c>
      <c r="P55" s="39" t="s">
        <v>76</v>
      </c>
      <c r="Q55" s="39" t="s">
        <v>76</v>
      </c>
      <c r="R55" s="39" t="s">
        <v>76</v>
      </c>
      <c r="S55" s="39" t="s">
        <v>77</v>
      </c>
      <c r="T55" s="39" t="s">
        <v>78</v>
      </c>
      <c r="U55" s="39" t="s">
        <v>76</v>
      </c>
      <c r="V55" s="39" t="s">
        <v>78</v>
      </c>
      <c r="W55" s="39" t="s">
        <v>75</v>
      </c>
      <c r="X55" s="39" t="s">
        <v>75</v>
      </c>
      <c r="Y55" s="39" t="s">
        <v>78</v>
      </c>
      <c r="Z55" s="39" t="s">
        <v>76</v>
      </c>
      <c r="AA55" s="39" t="s">
        <v>78</v>
      </c>
      <c r="AB55" s="39" t="s">
        <v>76</v>
      </c>
      <c r="AC55" s="39" t="s">
        <v>77</v>
      </c>
      <c r="AD55" s="39" t="s">
        <v>76</v>
      </c>
      <c r="AE55" s="39" t="s">
        <v>76</v>
      </c>
      <c r="AF55" s="39" t="s">
        <v>75</v>
      </c>
      <c r="AG55" s="39" t="s">
        <v>75</v>
      </c>
    </row>
    <row r="56">
      <c r="A56" s="39" t="s">
        <v>38</v>
      </c>
      <c r="B56" s="197">
        <v>5.0</v>
      </c>
      <c r="C56" s="197">
        <v>1.0</v>
      </c>
      <c r="D56" s="39" t="s">
        <v>75</v>
      </c>
      <c r="E56" s="39" t="s">
        <v>79</v>
      </c>
      <c r="F56" s="39" t="s">
        <v>77</v>
      </c>
      <c r="G56" s="39" t="s">
        <v>77</v>
      </c>
      <c r="H56" s="39" t="s">
        <v>77</v>
      </c>
      <c r="I56" s="39" t="s">
        <v>77</v>
      </c>
      <c r="J56" s="39" t="s">
        <v>79</v>
      </c>
      <c r="K56" s="39" t="s">
        <v>76</v>
      </c>
      <c r="L56" s="39" t="s">
        <v>75</v>
      </c>
      <c r="M56" s="39" t="s">
        <v>79</v>
      </c>
      <c r="N56" s="39" t="s">
        <v>76</v>
      </c>
      <c r="O56" s="39" t="s">
        <v>77</v>
      </c>
      <c r="P56" s="39" t="s">
        <v>76</v>
      </c>
      <c r="Q56" s="39" t="s">
        <v>77</v>
      </c>
      <c r="R56" s="39" t="s">
        <v>76</v>
      </c>
      <c r="S56" s="39" t="s">
        <v>77</v>
      </c>
      <c r="T56" s="39" t="s">
        <v>79</v>
      </c>
      <c r="U56" s="39" t="s">
        <v>76</v>
      </c>
      <c r="V56" s="39" t="s">
        <v>76</v>
      </c>
      <c r="W56" s="39" t="s">
        <v>76</v>
      </c>
      <c r="X56" s="39" t="s">
        <v>79</v>
      </c>
      <c r="Y56" s="39" t="s">
        <v>77</v>
      </c>
      <c r="Z56" s="39" t="s">
        <v>75</v>
      </c>
      <c r="AA56" s="39" t="s">
        <v>77</v>
      </c>
      <c r="AB56" s="39" t="s">
        <v>76</v>
      </c>
      <c r="AC56" s="39" t="s">
        <v>77</v>
      </c>
      <c r="AD56" s="39" t="s">
        <v>76</v>
      </c>
      <c r="AE56" s="39" t="s">
        <v>75</v>
      </c>
      <c r="AF56" s="39" t="s">
        <v>77</v>
      </c>
      <c r="AG56" s="39" t="s">
        <v>77</v>
      </c>
    </row>
    <row r="57">
      <c r="A57" s="39" t="s">
        <v>39</v>
      </c>
      <c r="B57" s="197">
        <v>5.0</v>
      </c>
      <c r="C57" s="197">
        <v>1.0</v>
      </c>
      <c r="D57" s="39" t="s">
        <v>75</v>
      </c>
      <c r="E57" s="39" t="s">
        <v>78</v>
      </c>
      <c r="F57" s="39" t="s">
        <v>77</v>
      </c>
      <c r="G57" s="39" t="s">
        <v>78</v>
      </c>
      <c r="H57" s="39" t="s">
        <v>79</v>
      </c>
      <c r="I57" s="39" t="s">
        <v>79</v>
      </c>
      <c r="J57" s="39" t="s">
        <v>78</v>
      </c>
      <c r="K57" s="39" t="s">
        <v>75</v>
      </c>
      <c r="L57" s="39" t="s">
        <v>78</v>
      </c>
      <c r="M57" s="39" t="s">
        <v>75</v>
      </c>
      <c r="N57" s="39" t="s">
        <v>76</v>
      </c>
      <c r="O57" s="39" t="s">
        <v>76</v>
      </c>
      <c r="P57" s="39" t="s">
        <v>76</v>
      </c>
      <c r="Q57" s="39" t="s">
        <v>79</v>
      </c>
      <c r="R57" s="39" t="s">
        <v>76</v>
      </c>
      <c r="S57" s="39" t="s">
        <v>79</v>
      </c>
      <c r="T57" s="39" t="s">
        <v>78</v>
      </c>
      <c r="U57" s="39" t="s">
        <v>75</v>
      </c>
      <c r="V57" s="39" t="s">
        <v>75</v>
      </c>
      <c r="W57" s="39" t="s">
        <v>79</v>
      </c>
      <c r="X57" s="39" t="s">
        <v>78</v>
      </c>
      <c r="Y57" s="39" t="s">
        <v>75</v>
      </c>
      <c r="Z57" s="39" t="s">
        <v>78</v>
      </c>
      <c r="AA57" s="39" t="s">
        <v>79</v>
      </c>
      <c r="AB57" s="39" t="s">
        <v>78</v>
      </c>
      <c r="AC57" s="39" t="s">
        <v>78</v>
      </c>
      <c r="AD57" s="39" t="s">
        <v>75</v>
      </c>
      <c r="AE57" s="39" t="s">
        <v>79</v>
      </c>
      <c r="AF57" s="39" t="s">
        <v>75</v>
      </c>
      <c r="AG57" s="39" t="s">
        <v>78</v>
      </c>
    </row>
    <row r="58">
      <c r="A58" s="39" t="s">
        <v>40</v>
      </c>
      <c r="B58" s="197">
        <v>5.0</v>
      </c>
      <c r="C58" s="197">
        <v>1.0</v>
      </c>
      <c r="D58" s="39" t="s">
        <v>79</v>
      </c>
      <c r="E58" s="39" t="s">
        <v>79</v>
      </c>
      <c r="F58" s="39" t="s">
        <v>77</v>
      </c>
      <c r="G58" s="39" t="s">
        <v>79</v>
      </c>
      <c r="H58" s="39" t="s">
        <v>79</v>
      </c>
      <c r="I58" s="39" t="s">
        <v>78</v>
      </c>
      <c r="J58" s="39" t="s">
        <v>77</v>
      </c>
      <c r="K58" s="39" t="s">
        <v>78</v>
      </c>
      <c r="L58" s="39" t="s">
        <v>79</v>
      </c>
      <c r="M58" s="39" t="s">
        <v>79</v>
      </c>
      <c r="N58" s="39" t="s">
        <v>78</v>
      </c>
      <c r="O58" s="39" t="s">
        <v>79</v>
      </c>
      <c r="P58" s="39" t="s">
        <v>79</v>
      </c>
      <c r="Q58" s="39" t="s">
        <v>77</v>
      </c>
      <c r="R58" s="39" t="s">
        <v>78</v>
      </c>
      <c r="S58" s="39" t="s">
        <v>77</v>
      </c>
      <c r="T58" s="39" t="s">
        <v>77</v>
      </c>
      <c r="U58" s="39" t="s">
        <v>78</v>
      </c>
      <c r="V58" s="39" t="s">
        <v>78</v>
      </c>
      <c r="W58" s="39" t="s">
        <v>77</v>
      </c>
      <c r="X58" s="39" t="s">
        <v>77</v>
      </c>
      <c r="Y58" s="39" t="s">
        <v>77</v>
      </c>
      <c r="Z58" s="39" t="s">
        <v>79</v>
      </c>
      <c r="AA58" s="39" t="s">
        <v>79</v>
      </c>
      <c r="AB58" s="39" t="s">
        <v>78</v>
      </c>
      <c r="AC58" s="39" t="s">
        <v>79</v>
      </c>
      <c r="AD58" s="39" t="s">
        <v>78</v>
      </c>
      <c r="AE58" s="39" t="s">
        <v>77</v>
      </c>
      <c r="AF58" s="39" t="s">
        <v>77</v>
      </c>
      <c r="AG58" s="39" t="s">
        <v>79</v>
      </c>
    </row>
    <row r="59">
      <c r="A59" s="39" t="s">
        <v>41</v>
      </c>
      <c r="B59" s="197">
        <v>5.0</v>
      </c>
      <c r="C59" s="197">
        <v>1.0</v>
      </c>
      <c r="D59" s="39" t="s">
        <v>75</v>
      </c>
      <c r="E59" s="39" t="s">
        <v>78</v>
      </c>
      <c r="F59" s="39" t="s">
        <v>77</v>
      </c>
      <c r="G59" s="39" t="s">
        <v>78</v>
      </c>
      <c r="H59" s="39" t="s">
        <v>77</v>
      </c>
      <c r="I59" s="39" t="s">
        <v>79</v>
      </c>
      <c r="J59" s="39" t="s">
        <v>77</v>
      </c>
      <c r="K59" s="39" t="s">
        <v>79</v>
      </c>
      <c r="L59" s="39" t="s">
        <v>78</v>
      </c>
      <c r="M59" s="39" t="s">
        <v>77</v>
      </c>
      <c r="N59" s="39" t="s">
        <v>76</v>
      </c>
      <c r="O59" s="39" t="s">
        <v>77</v>
      </c>
      <c r="P59" s="39" t="s">
        <v>78</v>
      </c>
      <c r="Q59" s="39" t="s">
        <v>79</v>
      </c>
      <c r="R59" s="39" t="s">
        <v>76</v>
      </c>
      <c r="S59" s="39" t="s">
        <v>77</v>
      </c>
      <c r="T59" s="39" t="s">
        <v>79</v>
      </c>
      <c r="U59" s="39" t="s">
        <v>76</v>
      </c>
      <c r="V59" s="39" t="s">
        <v>75</v>
      </c>
      <c r="W59" s="39" t="s">
        <v>79</v>
      </c>
      <c r="X59" s="39" t="s">
        <v>79</v>
      </c>
      <c r="Y59" s="39" t="s">
        <v>77</v>
      </c>
      <c r="Z59" s="39" t="s">
        <v>78</v>
      </c>
      <c r="AA59" s="39" t="s">
        <v>77</v>
      </c>
      <c r="AB59" s="39" t="s">
        <v>78</v>
      </c>
      <c r="AC59" s="39" t="s">
        <v>77</v>
      </c>
      <c r="AD59" s="39" t="s">
        <v>79</v>
      </c>
      <c r="AE59" s="39" t="s">
        <v>77</v>
      </c>
      <c r="AF59" s="39" t="s">
        <v>78</v>
      </c>
      <c r="AG59" s="39" t="s">
        <v>77</v>
      </c>
    </row>
    <row r="60">
      <c r="A60" s="39" t="s">
        <v>42</v>
      </c>
      <c r="B60" s="197">
        <v>5.0</v>
      </c>
      <c r="C60" s="197">
        <v>1.0</v>
      </c>
      <c r="D60" s="39" t="s">
        <v>76</v>
      </c>
      <c r="E60" s="39" t="s">
        <v>75</v>
      </c>
      <c r="F60" s="39" t="s">
        <v>77</v>
      </c>
      <c r="G60" s="39" t="s">
        <v>78</v>
      </c>
      <c r="H60" s="39" t="s">
        <v>77</v>
      </c>
      <c r="I60" s="39" t="s">
        <v>77</v>
      </c>
      <c r="J60" s="39" t="s">
        <v>79</v>
      </c>
      <c r="K60" s="39" t="s">
        <v>75</v>
      </c>
      <c r="L60" s="39" t="s">
        <v>76</v>
      </c>
      <c r="M60" s="39" t="s">
        <v>77</v>
      </c>
      <c r="N60" s="39" t="s">
        <v>79</v>
      </c>
      <c r="O60" s="39" t="s">
        <v>77</v>
      </c>
      <c r="P60" s="39" t="s">
        <v>75</v>
      </c>
      <c r="Q60" s="39" t="s">
        <v>78</v>
      </c>
      <c r="R60" s="39" t="s">
        <v>76</v>
      </c>
      <c r="S60" s="39" t="s">
        <v>78</v>
      </c>
      <c r="T60" s="39" t="s">
        <v>77</v>
      </c>
      <c r="U60" s="39" t="s">
        <v>76</v>
      </c>
      <c r="V60" s="39" t="s">
        <v>76</v>
      </c>
      <c r="W60" s="39" t="s">
        <v>75</v>
      </c>
      <c r="X60" s="39" t="s">
        <v>77</v>
      </c>
      <c r="Y60" s="39" t="s">
        <v>77</v>
      </c>
      <c r="Z60" s="39" t="s">
        <v>79</v>
      </c>
      <c r="AA60" s="39" t="s">
        <v>78</v>
      </c>
      <c r="AB60" s="39" t="s">
        <v>75</v>
      </c>
      <c r="AC60" s="39" t="s">
        <v>77</v>
      </c>
      <c r="AD60" s="39" t="s">
        <v>75</v>
      </c>
      <c r="AE60" s="39" t="s">
        <v>77</v>
      </c>
      <c r="AF60" s="39" t="s">
        <v>79</v>
      </c>
      <c r="AG60" s="39" t="s">
        <v>79</v>
      </c>
    </row>
    <row r="61">
      <c r="A61" s="39" t="s">
        <v>43</v>
      </c>
      <c r="B61" s="197">
        <v>5.0</v>
      </c>
      <c r="C61" s="197">
        <v>1.0</v>
      </c>
      <c r="D61" s="39" t="s">
        <v>75</v>
      </c>
      <c r="E61" s="39" t="s">
        <v>78</v>
      </c>
      <c r="F61" s="39" t="s">
        <v>77</v>
      </c>
      <c r="G61" s="39" t="s">
        <v>78</v>
      </c>
      <c r="H61" s="39" t="s">
        <v>77</v>
      </c>
      <c r="I61" s="39" t="s">
        <v>77</v>
      </c>
      <c r="J61" s="39" t="s">
        <v>77</v>
      </c>
      <c r="K61" s="39" t="s">
        <v>78</v>
      </c>
      <c r="L61" s="39" t="s">
        <v>75</v>
      </c>
      <c r="M61" s="39" t="s">
        <v>77</v>
      </c>
      <c r="N61" s="39" t="s">
        <v>76</v>
      </c>
      <c r="O61" s="39" t="s">
        <v>77</v>
      </c>
      <c r="P61" s="39" t="s">
        <v>76</v>
      </c>
      <c r="Q61" s="39" t="s">
        <v>78</v>
      </c>
      <c r="R61" s="39" t="s">
        <v>76</v>
      </c>
      <c r="S61" s="39" t="s">
        <v>77</v>
      </c>
      <c r="T61" s="39" t="s">
        <v>79</v>
      </c>
      <c r="U61" s="39" t="s">
        <v>75</v>
      </c>
      <c r="V61" s="39" t="s">
        <v>78</v>
      </c>
      <c r="W61" s="39" t="s">
        <v>77</v>
      </c>
      <c r="X61" s="39" t="s">
        <v>78</v>
      </c>
      <c r="Y61" s="39" t="s">
        <v>77</v>
      </c>
      <c r="Z61" s="39" t="s">
        <v>75</v>
      </c>
      <c r="AA61" s="39" t="s">
        <v>77</v>
      </c>
      <c r="AB61" s="39" t="s">
        <v>75</v>
      </c>
      <c r="AC61" s="39" t="s">
        <v>78</v>
      </c>
      <c r="AD61" s="39" t="s">
        <v>78</v>
      </c>
      <c r="AE61" s="39" t="s">
        <v>79</v>
      </c>
      <c r="AF61" s="39" t="s">
        <v>75</v>
      </c>
      <c r="AG61" s="39" t="s">
        <v>77</v>
      </c>
    </row>
  </sheetData>
  <drawing r:id="rId1"/>
</worksheet>
</file>