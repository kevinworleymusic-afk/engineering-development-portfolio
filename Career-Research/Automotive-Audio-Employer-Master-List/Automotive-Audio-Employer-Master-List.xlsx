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eed50310b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6d1279b8c54025"/>
    <x:sheet xmlns:r="http://schemas.openxmlformats.org/officeDocument/2006/relationships" name="Employer Master" sheetId="2" r:id="R94db29c1d6ab4d37"/>
    <x:sheet xmlns:r="http://schemas.openxmlformats.org/officeDocument/2006/relationships" name="Definitions &amp; Search Guide" sheetId="3" r:id="R34fdd055242c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7365D"/>
      <x:name val="Aptos"/>
    </x:font>
    <x:font>
      <x:b/>
      <x:sz val="20"/>
      <x:color rgb="FFFFFFFF"/>
      <x:name val="Aptos Display"/>
    </x:font>
    <x:font>
      <x:b/>
      <x:sz val="18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C6E0B4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aa4f52a79415f" /><Relationship Type="http://schemas.openxmlformats.org/officeDocument/2006/relationships/theme" Target="/xl/theme/theme1.xml" Id="R3cb9150441174d17" /><Relationship Type="http://schemas.openxmlformats.org/officeDocument/2006/relationships/sharedStrings" Target="/xl/sharedStrings.xml" Id="R643f102cd62b48ef" /><Relationship Type="http://schemas.openxmlformats.org/officeDocument/2006/relationships/worksheet" Target="/xl/worksheets/sheet1.xml" Id="Rad6d1279b8c54025" /><Relationship Type="http://schemas.openxmlformats.org/officeDocument/2006/relationships/worksheet" Target="/xl/worksheets/sheet2.xml" Id="R94db29c1d6ab4d37" /><Relationship Type="http://schemas.openxmlformats.org/officeDocument/2006/relationships/worksheet" Target="/xl/worksheets/sheet3.xml" Id="R34fdd055242c48fd" /></Relationships>
</file>

<file path=xl/tables/table1.xml><?xml version="1.0" encoding="utf-8"?>
<x:table xmlns:x="http://schemas.openxmlformats.org/spreadsheetml/2006/main" id="1" name="AutomotiveEmployers" displayName="AutomotiveEmployers" ref="A1:P56" headerRowCount="1" totalsRowCount="0" totalsRowShown="0">
  <x:tableColumns count="16">
    <x:tableColumn id="1" name="Category"/>
    <x:tableColumn id="2" name="Employer"/>
    <x:tableColumn id="3" name="Automotive-audio relevance"/>
    <x:tableColumn id="4" name="Likely role families"/>
    <x:tableColumn id="5" name="Primary US / North American hubs"/>
    <x:tableColumn id="6" name="Southeast relevance"/>
    <x:tableColumn id="7" name="Priority"/>
    <x:tableColumn id="8" name="Why it fits Kevin"/>
    <x:tableColumn id="9" name="Careers"/>
    <x:tableColumn id="10" name="Official evidence"/>
    <x:tableColumn id="11" name="Verification status"/>
    <x:tableColumn id="12" name="Last verified"/>
    <x:tableColumn id="13" name="Application status"/>
    <x:tableColumn id="14" name="Contact / referral"/>
    <x:tableColumn id="15" name="Next action"/>
    <x:tableColumn id="16" name="Last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bd558225694f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48" hidden="0" customWidth="1"/>
    <x:col min="4" max="4" width="34" hidden="0" customWidth="1"/>
    <x:col min="5" max="5" width="12" hidden="0" customWidth="1"/>
  </x:cols>
  <x:sheetData>
    <x:row r="1">
      <x:c r="A1" s="33" t="str">
        <x:v>Automotive Audio Employer Master List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 ht="26.399999618530273" hidden="0" customHeight="1">
      <x:c r="A4" s="24" t="str">
        <x:v>A structured target list—not a claim that every employer has a suitable opening today. Recheck each careers page before applying.</x:v>
      </x:c>
      <x:c r="B4" s="24"/>
      <x:c r="C4" s="24"/>
      <x:c r="D4" s="24"/>
      <x:c r="E4" s="24"/>
      <x:c r="F4" s="24"/>
      <x:c r="G4" s="24"/>
      <x:c r="H4" s="24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 ht="15" hidden="0" customHeight="1">
      <x:c r="A6" s="25" t="str">
        <x:v>Metric</x:v>
      </x:c>
      <x:c r="B6" s="25" t="str">
        <x:v>Count</x:v>
      </x:c>
      <x:c r="C6" s="26"/>
      <x:c r="D6" s="25" t="str">
        <x:v>Employer lane</x:v>
      </x:c>
      <x:c r="E6" s="25" t="str">
        <x:v>Count</x:v>
      </x:c>
      <x:c r="F6" s="26"/>
      <x:c r="G6" s="26"/>
      <x:c r="H6" s="26"/>
    </x:row>
    <x:row r="7" ht="15" hidden="0" customHeight="1">
      <x:c r="A7" s="26" t="str">
        <x:v>Total employers</x:v>
      </x:c>
      <x:c r="B7" s="26" t="n">
        <x:f>COUNTA('Employer Master'!B2:B56)</x:f>
        <x:v>55</x:v>
      </x:c>
      <x:c r="C7" s="26"/>
      <x:c r="D7" s="26" t="str">
        <x:v>Tier 1 / integrated systems</x:v>
      </x:c>
      <x:c r="E7" s="26" t="n">
        <x:f>COUNTIF('Employer Master'!A2:A56,D7)</x:f>
        <x:v>10</x:v>
      </x:c>
      <x:c r="F7" s="26"/>
      <x:c r="G7" s="26"/>
      <x:c r="H7" s="26"/>
    </x:row>
    <x:row r="8" ht="15" hidden="0" customHeight="1">
      <x:c r="A8" s="26" t="str">
        <x:v>Highest priority</x:v>
      </x:c>
      <x:c r="B8" s="26" t="n">
        <x:f>COUNTIF('Employer Master'!G2:G56,"Highest")</x:f>
        <x:v>10</x:v>
      </x:c>
      <x:c r="C8" s="26"/>
      <x:c r="D8" s="26" t="str">
        <x:v>OEM / vehicle manufacturer</x:v>
      </x:c>
      <x:c r="E8" s="26" t="n">
        <x:f>COUNTIF('Employer Master'!A2:A56,D8)</x:f>
        <x:v>14</x:v>
      </x:c>
      <x:c r="F8" s="26"/>
      <x:c r="G8" s="26"/>
      <x:c r="H8" s="26"/>
    </x:row>
    <x:row r="9" ht="15" hidden="0" customHeight="1">
      <x:c r="A9" s="26" t="str">
        <x:v>High priority</x:v>
      </x:c>
      <x:c r="B9" s="26" t="n">
        <x:f>COUNTIF('Employer Master'!G2:G56,"High")</x:f>
        <x:v>31</x:v>
      </x:c>
      <x:c r="C9" s="26"/>
      <x:c r="D9" s="26" t="str">
        <x:v>DSP / audio software / silicon</x:v>
      </x:c>
      <x:c r="E9" s="26" t="n">
        <x:f>COUNTIF('Employer Master'!A2:A56,D9)</x:f>
        <x:v>8</x:v>
      </x:c>
      <x:c r="F9" s="26"/>
      <x:c r="G9" s="26"/>
      <x:c r="H9" s="26"/>
    </x:row>
    <x:row r="10" ht="15" hidden="0" customHeight="1">
      <x:c r="A10" s="26" t="str">
        <x:v>Southeast: High</x:v>
      </x:c>
      <x:c r="B10" s="26" t="n">
        <x:f>COUNTIF('Employer Master'!F2:F56,"High")</x:f>
        <x:v>13</x:v>
      </x:c>
      <x:c r="C10" s="26"/>
      <x:c r="D10" s="26" t="str">
        <x:v>Audio systems / components</x:v>
      </x:c>
      <x:c r="E10" s="26" t="n">
        <x:f>COUNTIF('Employer Master'!A2:A56,D10)</x:f>
        <x:v>6</x:v>
      </x:c>
      <x:c r="F10" s="26"/>
      <x:c r="G10" s="26"/>
      <x:c r="H10" s="26"/>
    </x:row>
    <x:row r="11" ht="15" hidden="0" customHeight="1">
      <x:c r="A11" s="26"/>
      <x:c r="B11" s="26"/>
      <x:c r="C11" s="26"/>
      <x:c r="D11" s="26" t="str">
        <x:v>Measurement / NVH / validation</x:v>
      </x:c>
      <x:c r="E11" s="26" t="n">
        <x:f>COUNTIF('Employer Master'!A2:A56,D11)</x:f>
        <x:v>6</x:v>
      </x:c>
      <x:c r="F11" s="26"/>
      <x:c r="G11" s="26"/>
      <x:c r="H11" s="26"/>
    </x:row>
    <x:row r="12" ht="15" hidden="0" customHeight="1">
      <x:c r="A12" s="26"/>
      <x:c r="B12" s="26"/>
      <x:c r="C12" s="26"/>
      <x:c r="D12" s="26" t="str">
        <x:v>Engineering services / consulting</x:v>
      </x:c>
      <x:c r="E12" s="26" t="n">
        <x:f>COUNTIF('Employer Master'!A2:A56,D12)</x:f>
        <x:v>5</x:v>
      </x:c>
      <x:c r="F12" s="26"/>
      <x:c r="G12" s="26"/>
      <x:c r="H12" s="26"/>
    </x:row>
    <x:row r="13" ht="15" hidden="0" customHeight="1">
      <x:c r="A13" s="26"/>
      <x:c r="B13" s="26"/>
      <x:c r="C13" s="26"/>
      <x:c r="D13" s="26" t="str">
        <x:v>Aftermarket / specialty audio</x:v>
      </x:c>
      <x:c r="E13" s="26" t="n">
        <x:f>COUNTIF('Employer Master'!A2:A56,D13)</x:f>
        <x:v>6</x:v>
      </x:c>
      <x:c r="F13" s="26"/>
      <x:c r="G13" s="26"/>
      <x:c r="H13" s="26"/>
    </x:row>
    <x:row r="14" ht="15" hidden="0" customHeight="1">
      <x:c r="A14" s="26"/>
      <x:c r="B14" s="26"/>
      <x:c r="C14" s="26"/>
      <x:c r="D14" s="26"/>
      <x:c r="E14" s="26"/>
      <x:c r="F14" s="26"/>
      <x:c r="G14" s="26"/>
      <x:c r="H14" s="26"/>
    </x:row>
    <x:row r="15" ht="15" hidden="0" customHeight="1">
      <x:c r="A15" s="26"/>
      <x:c r="B15" s="26"/>
      <x:c r="C15" s="26"/>
      <x:c r="D15" s="26"/>
      <x:c r="E15" s="26"/>
      <x:c r="F15" s="26"/>
      <x:c r="G15" s="26"/>
      <x:c r="H15" s="26"/>
    </x:row>
    <x:row r="16" ht="15" hidden="0" customHeight="1">
      <x:c r="A16" s="22" t="str">
        <x:v>Recommended starting sequence</x:v>
      </x:c>
      <x:c r="B16" s="22"/>
      <x:c r="C16" s="22"/>
      <x:c r="D16" s="22"/>
      <x:c r="E16" s="22"/>
      <x:c r="F16" s="22"/>
      <x:c r="G16" s="22"/>
      <x:c r="H16" s="22"/>
    </x:row>
    <x:row r="17" ht="34" hidden="0" customHeight="1">
      <x:c r="A17" s="27" t="str">
        <x:v>1</x:v>
      </x:c>
      <x:c r="B17" s="27" t="str">
        <x:v>Regional Tier 1s</x:v>
      </x:c>
      <x:c r="C17" s="27" t="str">
        <x:v>Panasonic Automotive first; then Mercedes-Benz Atlanta and Hyundai/Kia/Georgia ecosystem.</x:v>
      </x:c>
      <x:c r="D17" s="27" t="str"/>
      <x:c r="E17" s="27" t="str"/>
      <x:c r="F17" s="27" t="str"/>
      <x:c r="G17" s="27" t="str"/>
      <x:c r="H17" s="27" t="str"/>
    </x:row>
    <x:row r="18" ht="34" hidden="0" customHeight="1">
      <x:c r="A18" s="27" t="str">
        <x:v>2</x:v>
      </x:c>
      <x:c r="B18" s="27" t="str">
        <x:v>Detroit audio core</x:v>
      </x:c>
      <x:c r="C18" s="27" t="str">
        <x:v>HARMAN, Alps Alpine, FORVIA/Clarion, Bose, OEM engineering centers.</x:v>
      </x:c>
      <x:c r="D18" s="27" t="str"/>
      <x:c r="E18" s="27" t="str"/>
      <x:c r="F18" s="27" t="str"/>
      <x:c r="G18" s="27" t="str"/>
      <x:c r="H18" s="27" t="str"/>
    </x:row>
    <x:row r="19" ht="34" hidden="0" customHeight="1">
      <x:c r="A19" s="27" t="str">
        <x:v>3</x:v>
      </x:c>
      <x:c r="B19" s="27" t="str">
        <x:v>DSP/software</x:v>
      </x:c>
      <x:c r="C19" s="27" t="str">
        <x:v>DSP Concepts, Dirac, Dolby, Analog Devices, NXP and TI.</x:v>
      </x:c>
      <x:c r="D19" s="27" t="str"/>
      <x:c r="E19" s="27" t="str"/>
      <x:c r="F19" s="27" t="str"/>
      <x:c r="G19" s="27" t="str"/>
      <x:c r="H19" s="27" t="str"/>
    </x:row>
    <x:row r="20" ht="34" hidden="0" customHeight="1">
      <x:c r="A20" s="27" t="str">
        <x:v>4</x:v>
      </x:c>
      <x:c r="B20" s="27" t="str">
        <x:v>Measurement</x:v>
      </x:c>
      <x:c r="C20" s="27" t="str">
        <x:v>HEAD acoustics, Audio Precision, HBK, GRAS and Klippel.</x:v>
      </x:c>
      <x:c r="D20" s="27" t="str"/>
      <x:c r="E20" s="27" t="str"/>
      <x:c r="F20" s="27" t="str"/>
      <x:c r="G20" s="27" t="str"/>
      <x:c r="H20" s="27" t="str"/>
    </x:row>
    <x:row r="21" ht="34" hidden="0" customHeight="1">
      <x:c r="A21" s="27" t="str">
        <x:v>5</x:v>
      </x:c>
      <x:c r="B21" s="27" t="str">
        <x:v>Specialty audio</x:v>
      </x:c>
      <x:c r="C21" s="27" t="str">
        <x:v>JL Audio/Garmin, KICKER and Rockford Fosgate.</x:v>
      </x:c>
      <x:c r="D21" s="27" t="str"/>
      <x:c r="E21" s="27" t="str"/>
      <x:c r="F21" s="27" t="str"/>
      <x:c r="G21" s="27" t="str"/>
      <x:c r="H21" s="27" t="str"/>
    </x:row>
  </x:sheetData>
  <x:mergeCells>
    <x:mergeCell ref="A1:H2"/>
    <x:mergeCell ref="A4:H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42" hidden="0" customWidth="1"/>
    <x:col min="4" max="4" width="38" hidden="0" customWidth="1"/>
    <x:col min="5" max="5" width="36" hidden="0" customWidth="1"/>
    <x:col min="6" max="6" width="14" hidden="0" customWidth="1"/>
    <x:col min="7" max="7" width="12" hidden="0" customWidth="1"/>
    <x:col min="8" max="8" width="46" hidden="0" customWidth="1"/>
    <x:col min="9" max="9" width="34" hidden="0" customWidth="1"/>
    <x:col min="10" max="10" width="36" hidden="0" customWidth="1"/>
    <x:col min="11" max="11" width="32" hidden="0" customWidth="1"/>
    <x:col min="12" max="12" width="14" hidden="0" customWidth="1"/>
    <x:col min="13" max="13" width="16" hidden="0" customWidth="1"/>
    <x:col min="14" max="14" width="24" hidden="0" customWidth="1"/>
    <x:col min="15" max="15" width="28" hidden="0" customWidth="1"/>
    <x:col min="16" max="16" width="14" hidden="0" customWidth="1"/>
  </x:cols>
  <x:sheetData>
    <x:row r="1" ht="38" customHeight="1">
      <x:c r="A1" s="28" t="str">
        <x:v>Category</x:v>
      </x:c>
      <x:c r="B1" s="28" t="str">
        <x:v>Employer</x:v>
      </x:c>
      <x:c r="C1" s="28" t="str">
        <x:v>Automotive-audio relevance</x:v>
      </x:c>
      <x:c r="D1" s="28" t="str">
        <x:v>Likely role families</x:v>
      </x:c>
      <x:c r="E1" s="28" t="str">
        <x:v>Primary US / North American hubs</x:v>
      </x:c>
      <x:c r="F1" s="28" t="str">
        <x:v>Southeast relevance</x:v>
      </x:c>
      <x:c r="G1" s="28" t="str">
        <x:v>Priority</x:v>
      </x:c>
      <x:c r="H1" s="28" t="str">
        <x:v>Why it fits Kevin</x:v>
      </x:c>
      <x:c r="I1" s="28" t="str">
        <x:v>Careers</x:v>
      </x:c>
      <x:c r="J1" s="28" t="str">
        <x:v>Official evidence</x:v>
      </x:c>
      <x:c r="K1" s="28" t="str">
        <x:v>Verification status</x:v>
      </x:c>
      <x:c r="L1" s="28" t="str">
        <x:v>Last verified</x:v>
      </x:c>
      <x:c r="M1" s="28" t="str">
        <x:v>Application status</x:v>
      </x:c>
      <x:c r="N1" s="28" t="str">
        <x:v>Contact / referral</x:v>
      </x:c>
      <x:c r="O1" s="28" t="str">
        <x:v>Next action</x:v>
      </x:c>
      <x:c r="P1" s="28" t="str">
        <x:v>Last checked</x:v>
      </x:c>
    </x:row>
    <x:row r="2">
      <x:c r="A2" s="29" t="str">
        <x:v>Tier 1 / integrated systems</x:v>
      </x:c>
      <x:c r="B2" s="29" t="str">
        <x:v>HARMAN Automotive</x:v>
      </x:c>
      <x:c r="C2" s="29" t="str">
        <x:v>Audio systems, branded audio, DSP, validation, tuning, connected cockpit</x:v>
      </x:c>
      <x:c r="D2" s="29" t="str">
        <x:v>Audio systems; acoustic tuning; DSP; validation; software project engineering</x:v>
      </x:c>
      <x:c r="E2" s="29" t="str">
        <x:v>Novi, MI; multiple US sites</x:v>
      </x:c>
      <x:c r="F2" s="29" t="str">
        <x:v>High</x:v>
      </x:c>
      <x:c r="G2" s="29" t="str">
        <x:v>Highest</x:v>
      </x:c>
      <x:c r="H2" s="29" t="str">
        <x:v>Direct match; current Novi car-audio roles were visible during verification</x:v>
      </x:c>
      <x:c r="I2" s="29" t="str">
        <x:v>https://jobsearch.harman.com/en_US/careers/SearchJobs/</x:v>
      </x:c>
      <x:c r="J2" s="29" t="str">
        <x:v>https://www.harman.com/automotive</x:v>
      </x:c>
      <x:c r="K2" s="29" t="str">
        <x:v>Active audio roles verified</x:v>
      </x:c>
      <x:c r="L2" s="29" t="str">
        <x:v>2026-08-01</x:v>
      </x:c>
      <x:c r="M2" s="29" t="str">
        <x:v>Not started</x:v>
      </x:c>
      <x:c r="N2" s="29" t="str"/>
      <x:c r="O2" s="29" t="str">
        <x:v>Review careers page</x:v>
      </x:c>
      <x:c r="P2" s="29" t="str"/>
    </x:row>
    <x:row r="3">
      <x:c r="A3" s="29" t="str">
        <x:v>Tier 1 / integrated systems</x:v>
      </x:c>
      <x:c r="B3" s="29" t="str">
        <x:v>Panasonic Automotive Systems Company of America</x:v>
      </x:c>
      <x:c r="C3" s="29" t="str">
        <x:v>Infotainment, connectivity and premium branded audio programs</x:v>
      </x:c>
      <x:c r="D3" s="29" t="str">
        <x:v>Systems; validation; embedded software; audio integration; program engineering</x:v>
      </x:c>
      <x:c r="E3" s="29" t="str">
        <x:v>Peachtree City, GA; Farmington Hills, MI</x:v>
      </x:c>
      <x:c r="F3" s="29" t="str">
        <x:v>High</x:v>
      </x:c>
      <x:c r="G3" s="29" t="str">
        <x:v>Highest</x:v>
      </x:c>
      <x:c r="H3" s="29" t="str">
        <x:v>Georgia headquarters makes this the strongest regional Tier 1 target</x:v>
      </x:c>
      <x:c r="I3" s="29" t="str">
        <x:v>https://careers.na.panasonic.com/automotive</x:v>
      </x:c>
      <x:c r="J3" s="29" t="str">
        <x:v>https://na.panasonic.com/news/panasonic-automotive-introduces-neuron-high-performance-compute-hpc-to-advance-to-a-software-defined-mobility-future</x:v>
      </x:c>
      <x:c r="K3" s="29" t="str">
        <x:v>Employer verified; search openings</x:v>
      </x:c>
      <x:c r="L3" s="29" t="str">
        <x:v>2026-08-01</x:v>
      </x:c>
      <x:c r="M3" s="29" t="str">
        <x:v>Not started</x:v>
      </x:c>
      <x:c r="N3" s="29" t="str"/>
      <x:c r="O3" s="29" t="str">
        <x:v>Review careers page</x:v>
      </x:c>
      <x:c r="P3" s="29" t="str"/>
    </x:row>
    <x:row r="4">
      <x:c r="A4" s="29" t="str">
        <x:v>Tier 1 / integrated systems</x:v>
      </x:c>
      <x:c r="B4" s="29" t="str">
        <x:v>Alps Alpine North America</x:v>
      </x:c>
      <x:c r="C4" s="29" t="str">
        <x:v>OEM infotainment, electronics, audio and HMI systems</x:v>
      </x:c>
      <x:c r="D4" s="29" t="str">
        <x:v>Audio systems; embedded software; validation; electrical; program engineering</x:v>
      </x:c>
      <x:c r="E4" s="29" t="str">
        <x:v>Auburn Hills, MI; Santa Clara, CA; Torrance, CA; Dublin, OH</x:v>
      </x:c>
      <x:c r="F4" s="29" t="str">
        <x:v>Medium</x:v>
      </x:c>
      <x:c r="G4" s="29" t="str">
        <x:v>Highest</x:v>
      </x:c>
      <x:c r="H4" s="29" t="str">
        <x:v>Direct OEM-supplier route with Detroit-area engineering presence</x:v>
      </x:c>
      <x:c r="I4" s="29" t="str">
        <x:v>https://recruit.alpsalpine.com/e/recruit/</x:v>
      </x:c>
      <x:c r="J4" s="29" t="str">
        <x:v>https://www.alpsalpine.com/e/company/net-america/</x:v>
      </x:c>
      <x:c r="K4" s="29" t="str">
        <x:v>Employer and US hubs verified</x:v>
      </x:c>
      <x:c r="L4" s="29" t="str">
        <x:v>2026-08-01</x:v>
      </x:c>
      <x:c r="M4" s="29" t="str">
        <x:v>Not started</x:v>
      </x:c>
      <x:c r="N4" s="29" t="str"/>
      <x:c r="O4" s="29" t="str">
        <x:v>Review careers page</x:v>
      </x:c>
      <x:c r="P4" s="29" t="str"/>
    </x:row>
    <x:row r="5">
      <x:c r="A5" s="29" t="str">
        <x:v>Tier 1 / integrated systems</x:v>
      </x:c>
      <x:c r="B5" s="29" t="str">
        <x:v>FORVIA / Clarion Electronics</x:v>
      </x:c>
      <x:c r="C5" s="29" t="str">
        <x:v>Cockpit electronics, digital sound, infotainment and tuning algorithms</x:v>
      </x:c>
      <x:c r="D5" s="29" t="str">
        <x:v>Audio tuning; systems; validation; embedded software; customer engineering</x:v>
      </x:c>
      <x:c r="E5" s="29" t="str">
        <x:v>Michigan and other North American sites—verify by role</x:v>
      </x:c>
      <x:c r="F5" s="29" t="str">
        <x:v>Medium</x:v>
      </x:c>
      <x:c r="G5" s="29" t="str">
        <x:v>High</x:v>
      </x:c>
      <x:c r="H5" s="29" t="str">
        <x:v>Clarion side is specifically relevant to OEM audio and cockpit electronics</x:v>
      </x:c>
      <x:c r="I5" s="29" t="str">
        <x:v>https://careers.forvia.com/</x:v>
      </x:c>
      <x:c r="J5" s="29" t="str">
        <x:v>https://www.forvia.com/en/insights/cockpit-connected-future</x:v>
      </x:c>
      <x:c r="K5" s="29" t="str">
        <x:v>Employer relevance verified</x:v>
      </x:c>
      <x:c r="L5" s="29" t="str">
        <x:v>2026-08-01</x:v>
      </x:c>
      <x:c r="M5" s="29" t="str">
        <x:v>Not started</x:v>
      </x:c>
      <x:c r="N5" s="29" t="str"/>
      <x:c r="O5" s="29" t="str">
        <x:v>Review careers page</x:v>
      </x:c>
      <x:c r="P5" s="29" t="str"/>
    </x:row>
    <x:row r="6">
      <x:c r="A6" s="29" t="str">
        <x:v>Tier 1 / integrated systems</x:v>
      </x:c>
      <x:c r="B6" s="29" t="str">
        <x:v>Continental Automotive</x:v>
      </x:c>
      <x:c r="C6" s="29" t="str">
        <x:v>Vehicle electronics, displays, software and speakerless Ac2ated Sound</x:v>
      </x:c>
      <x:c r="D6" s="29" t="str">
        <x:v>Acoustic systems; NVH; software; validation; systems engineering</x:v>
      </x:c>
      <x:c r="E6" s="29" t="str">
        <x:v>Auburn Hills, MI and multiple US engineering sites</x:v>
      </x:c>
      <x:c r="F6" s="29" t="str">
        <x:v>Medium</x:v>
      </x:c>
      <x:c r="G6" s="29" t="str">
        <x:v>High</x:v>
      </x:c>
      <x:c r="H6" s="29" t="str">
        <x:v>Audio-adjacent route combining acoustics, cockpit and vehicle systems</x:v>
      </x:c>
      <x:c r="I6" s="29" t="str">
        <x:v>https://jobs.continental.com/</x:v>
      </x:c>
      <x:c r="J6" s="29" t="str">
        <x:v>https://www.continental.com/en/press/press-releases/20250326-ac2atedsound-display/</x:v>
      </x:c>
      <x:c r="K6" s="29" t="str">
        <x:v>Employer relevance verified</x:v>
      </x:c>
      <x:c r="L6" s="29" t="str">
        <x:v>2026-08-01</x:v>
      </x:c>
      <x:c r="M6" s="29" t="str">
        <x:v>Not started</x:v>
      </x:c>
      <x:c r="N6" s="29" t="str"/>
      <x:c r="O6" s="29" t="str">
        <x:v>Review careers page</x:v>
      </x:c>
      <x:c r="P6" s="29" t="str"/>
    </x:row>
    <x:row r="7">
      <x:c r="A7" s="29" t="str">
        <x:v>Tier 1 / integrated systems</x:v>
      </x:c>
      <x:c r="B7" s="29" t="str">
        <x:v>Visteon</x:v>
      </x:c>
      <x:c r="C7" s="29" t="str">
        <x:v>Digital cockpit and Android infotainment platforms</x:v>
      </x:c>
      <x:c r="D7" s="29" t="str">
        <x:v>Infotainment; embedded audio; systems; validation; software</x:v>
      </x:c>
      <x:c r="E7" s="29" t="str">
        <x:v>Van Buren Township, MI and global engineering sites</x:v>
      </x:c>
      <x:c r="F7" s="29" t="str">
        <x:v>Low</x:v>
      </x:c>
      <x:c r="G7" s="29" t="str">
        <x:v>High</x:v>
      </x:c>
      <x:c r="H7" s="29" t="str">
        <x:v>Useful cockpit-software route; audio roles may be embedded in infotainment titles</x:v>
      </x:c>
      <x:c r="I7" s="29" t="str">
        <x:v>https://www.visteon.com/careers/</x:v>
      </x:c>
      <x:c r="J7" s="29" t="str">
        <x:v>https://www.visteon.com/products-technology/digital-cockpit/android-infotainment/default.aspx</x:v>
      </x:c>
      <x:c r="K7" s="29" t="str">
        <x:v>Employer relevance verified</x:v>
      </x:c>
      <x:c r="L7" s="29" t="str">
        <x:v>2026-08-01</x:v>
      </x:c>
      <x:c r="M7" s="29" t="str">
        <x:v>Not started</x:v>
      </x:c>
      <x:c r="N7" s="29" t="str"/>
      <x:c r="O7" s="29" t="str">
        <x:v>Review careers page</x:v>
      </x:c>
      <x:c r="P7" s="29" t="str"/>
    </x:row>
    <x:row r="8">
      <x:c r="A8" s="29" t="str">
        <x:v>Tier 1 / integrated systems</x:v>
      </x:c>
      <x:c r="B8" s="29" t="str">
        <x:v>LG Electronics Vehicle Solution</x:v>
      </x:c>
      <x:c r="C8" s="29" t="str">
        <x:v>In-vehicle infotainment, telematics and software-defined mobility</x:v>
      </x:c>
      <x:c r="D8" s="29" t="str">
        <x:v>IVI; embedded software; audio integration; validation; systems</x:v>
      </x:c>
      <x:c r="E8" s="29" t="str">
        <x:v>Troy, MI and other US sites—verify by role</x:v>
      </x:c>
      <x:c r="F8" s="29" t="str">
        <x:v>Low</x:v>
      </x:c>
      <x:c r="G8" s="29" t="str">
        <x:v>High</x:v>
      </x:c>
      <x:c r="H8" s="29" t="str">
        <x:v>Strong adjacent employer for integrated vehicle media systems</x:v>
      </x:c>
      <x:c r="I8" s="29" t="str">
        <x:v>https://careers.lg.com/</x:v>
      </x:c>
      <x:c r="J8" s="29" t="str">
        <x:v>https://www.lg.com/global/business/mobility/</x:v>
      </x:c>
      <x:c r="K8" s="29" t="str">
        <x:v>Employer relevance verified</x:v>
      </x:c>
      <x:c r="L8" s="29" t="str">
        <x:v>2026-08-01</x:v>
      </x:c>
      <x:c r="M8" s="29" t="str">
        <x:v>Not started</x:v>
      </x:c>
      <x:c r="N8" s="29" t="str"/>
      <x:c r="O8" s="29" t="str">
        <x:v>Review careers page</x:v>
      </x:c>
      <x:c r="P8" s="29" t="str"/>
    </x:row>
    <x:row r="9">
      <x:c r="A9" s="29" t="str">
        <x:v>Tier 1 / integrated systems</x:v>
      </x:c>
      <x:c r="B9" s="29" t="str">
        <x:v>Aptiv</x:v>
      </x:c>
      <x:c r="C9" s="29" t="str">
        <x:v>Vehicle architecture, infotainment connectivity and software platforms</x:v>
      </x:c>
      <x:c r="D9" s="29" t="str">
        <x:v>Systems; embedded software; validation; electrical integration</x:v>
      </x:c>
      <x:c r="E9" s="29" t="str">
        <x:v>Troy, MI; Boston, MA; multiple US sites</x:v>
      </x:c>
      <x:c r="F9" s="29" t="str">
        <x:v>Low</x:v>
      </x:c>
      <x:c r="G9" s="29" t="str">
        <x:v>Medium</x:v>
      </x:c>
      <x:c r="H9" s="29" t="str">
        <x:v>Broader vehicle-systems route; filter carefully for audio/infotainment work</x:v>
      </x:c>
      <x:c r="I9" s="29" t="str">
        <x:v>https://jobs.aptiv.com/</x:v>
      </x:c>
      <x:c r="J9" s="29" t="str">
        <x:v>https://www.aptiv.com/</x:v>
      </x:c>
      <x:c r="K9" s="29" t="str">
        <x:v>Target employer; opening not verified</x:v>
      </x:c>
      <x:c r="L9" s="29" t="str">
        <x:v>2026-08-01</x:v>
      </x:c>
      <x:c r="M9" s="29" t="str">
        <x:v>Not started</x:v>
      </x:c>
      <x:c r="N9" s="29" t="str"/>
      <x:c r="O9" s="29" t="str">
        <x:v>Review careers page</x:v>
      </x:c>
      <x:c r="P9" s="29" t="str"/>
    </x:row>
    <x:row r="10">
      <x:c r="A10" s="29" t="str">
        <x:v>Tier 1 / integrated systems</x:v>
      </x:c>
      <x:c r="B10" s="29" t="str">
        <x:v>Bosch Mobility</x:v>
      </x:c>
      <x:c r="C10" s="29" t="str">
        <x:v>Vehicle electronics, infotainment, microphones and software</x:v>
      </x:c>
      <x:c r="D10" s="29" t="str">
        <x:v>Systems; embedded DSP; microphones; validation; applications</x:v>
      </x:c>
      <x:c r="E10" s="29" t="str">
        <x:v>Farmington Hills/Plymouth, MI and multiple US sites</x:v>
      </x:c>
      <x:c r="F10" s="29" t="str">
        <x:v>Low</x:v>
      </x:c>
      <x:c r="G10" s="29" t="str">
        <x:v>High</x:v>
      </x:c>
      <x:c r="H10" s="29" t="str">
        <x:v>Large mobility engineering base with audio-adjacent component and software work</x:v>
      </x:c>
      <x:c r="I10" s="29" t="str">
        <x:v>https://www.bosch.us/careers/</x:v>
      </x:c>
      <x:c r="J10" s="29" t="str">
        <x:v>https://www.bosch-mobility.com/</x:v>
      </x:c>
      <x:c r="K10" s="29" t="str">
        <x:v>Target employer; opening not verified</x:v>
      </x:c>
      <x:c r="L10" s="29" t="str">
        <x:v>2026-08-01</x:v>
      </x:c>
      <x:c r="M10" s="29" t="str">
        <x:v>Not started</x:v>
      </x:c>
      <x:c r="N10" s="29" t="str"/>
      <x:c r="O10" s="29" t="str">
        <x:v>Review careers page</x:v>
      </x:c>
      <x:c r="P10" s="29" t="str"/>
    </x:row>
    <x:row r="11">
      <x:c r="A11" s="29" t="str">
        <x:v>Tier 1 / integrated systems</x:v>
      </x:c>
      <x:c r="B11" s="29" t="str">
        <x:v>DENSO</x:v>
      </x:c>
      <x:c r="C11" s="29" t="str">
        <x:v>Vehicle electronics, cockpit and connected systems</x:v>
      </x:c>
      <x:c r="D11" s="29" t="str">
        <x:v>Systems; validation; embedded software; electrical; test</x:v>
      </x:c>
      <x:c r="E11" s="29" t="str">
        <x:v>Southfield/Battle Creek, MI; Maryville, TN; other US sites</x:v>
      </x:c>
      <x:c r="F11" s="29" t="str">
        <x:v>High</x:v>
      </x:c>
      <x:c r="G11" s="29" t="str">
        <x:v>Medium</x:v>
      </x:c>
      <x:c r="H11" s="29" t="str">
        <x:v>Southeast and Michigan footprint; audio is usually embedded in broader cockpit work</x:v>
      </x:c>
      <x:c r="I11" s="29" t="str">
        <x:v>https://careers.denso.com/</x:v>
      </x:c>
      <x:c r="J11" s="29" t="str">
        <x:v>https://www.denso.com/us-ca/en/</x:v>
      </x:c>
      <x:c r="K11" s="29" t="str">
        <x:v>Target employer; opening not verified</x:v>
      </x:c>
      <x:c r="L11" s="29" t="str">
        <x:v>2026-08-01</x:v>
      </x:c>
      <x:c r="M11" s="29" t="str">
        <x:v>Not started</x:v>
      </x:c>
      <x:c r="N11" s="29" t="str"/>
      <x:c r="O11" s="29" t="str">
        <x:v>Review careers page</x:v>
      </x:c>
      <x:c r="P11" s="29" t="str"/>
    </x:row>
    <x:row r="12">
      <x:c r="A12" s="29" t="str">
        <x:v>OEM / vehicle manufacturer</x:v>
      </x:c>
      <x:c r="B12" s="29" t="str">
        <x:v>General Motors</x:v>
      </x:c>
      <x:c r="C12" s="29" t="str">
        <x:v>In-house vehicle audio, infotainment, validation and user-experience programs</x:v>
      </x:c>
      <x:c r="D12" s="29" t="str">
        <x:v>Audio systems; infotainment; validation; DSP; systems integration</x:v>
      </x:c>
      <x:c r="E12" s="29" t="str">
        <x:v>Warren/Milford, MI; Atlanta, GA software presence; other sites</x:v>
      </x:c>
      <x:c r="F12" s="29" t="str">
        <x:v>High</x:v>
      </x:c>
      <x:c r="G12" s="29" t="str">
        <x:v>Highest</x:v>
      </x:c>
      <x:c r="H12" s="29" t="str">
        <x:v>Major in-house systems path and geographically relevant software presence</x:v>
      </x:c>
      <x:c r="I12" s="29" t="str">
        <x:v>https://search-careers.gm.com/en/jobs/</x:v>
      </x:c>
      <x:c r="J12" s="29" t="str">
        <x:v>https://www.gm.com/</x:v>
      </x:c>
      <x:c r="K12" s="29" t="str">
        <x:v>Target employer; search current roles</x:v>
      </x:c>
      <x:c r="L12" s="29" t="str">
        <x:v>2026-08-01</x:v>
      </x:c>
      <x:c r="M12" s="29" t="str">
        <x:v>Not started</x:v>
      </x:c>
      <x:c r="N12" s="29" t="str"/>
      <x:c r="O12" s="29" t="str">
        <x:v>Review careers page</x:v>
      </x:c>
      <x:c r="P12" s="29" t="str"/>
    </x:row>
    <x:row r="13">
      <x:c r="A13" s="29" t="str">
        <x:v>OEM / vehicle manufacturer</x:v>
      </x:c>
      <x:c r="B13" s="29" t="str">
        <x:v>Ford Motor Company</x:v>
      </x:c>
      <x:c r="C13" s="29" t="str">
        <x:v>Vehicle audio, infotainment, connected experiences and validation</x:v>
      </x:c>
      <x:c r="D13" s="29" t="str">
        <x:v>Audio systems; tuning; infotainment; validation; embedded software</x:v>
      </x:c>
      <x:c r="E13" s="29" t="str">
        <x:v>Dearborn, MI and multiple US sites</x:v>
      </x:c>
      <x:c r="F13" s="29" t="str">
        <x:v>Low</x:v>
      </x:c>
      <x:c r="G13" s="29" t="str">
        <x:v>Highest</x:v>
      </x:c>
      <x:c r="H13" s="29" t="str">
        <x:v>Core Detroit OEM target for long-term in-house audio work</x:v>
      </x:c>
      <x:c r="I13" s="29" t="str">
        <x:v>https://www.careers.ford.com/</x:v>
      </x:c>
      <x:c r="J13" s="29" t="str">
        <x:v>https://www.ford.com/</x:v>
      </x:c>
      <x:c r="K13" s="29" t="str">
        <x:v>Target employer; search current roles</x:v>
      </x:c>
      <x:c r="L13" s="29" t="str">
        <x:v>2026-08-01</x:v>
      </x:c>
      <x:c r="M13" s="29" t="str">
        <x:v>Not started</x:v>
      </x:c>
      <x:c r="N13" s="29" t="str"/>
      <x:c r="O13" s="29" t="str">
        <x:v>Review careers page</x:v>
      </x:c>
      <x:c r="P13" s="29" t="str"/>
    </x:row>
    <x:row r="14">
      <x:c r="A14" s="29" t="str">
        <x:v>OEM / vehicle manufacturer</x:v>
      </x:c>
      <x:c r="B14" s="29" t="str">
        <x:v>Stellantis</x:v>
      </x:c>
      <x:c r="C14" s="29" t="str">
        <x:v>Vehicle audio, infotainment, electrical systems and validation</x:v>
      </x:c>
      <x:c r="D14" s="29" t="str">
        <x:v>Audio systems; infotainment; validation; systems integration</x:v>
      </x:c>
      <x:c r="E14" s="29" t="str">
        <x:v>Auburn Hills, MI and multiple US sites</x:v>
      </x:c>
      <x:c r="F14" s="29" t="str">
        <x:v>Low</x:v>
      </x:c>
      <x:c r="G14" s="29" t="str">
        <x:v>Highest</x:v>
      </x:c>
      <x:c r="H14" s="29" t="str">
        <x:v>Core Detroit OEM target; search Chrysler/Jeep/Ram vehicle-experience teams</x:v>
      </x:c>
      <x:c r="I14" s="29" t="str">
        <x:v>https://careers.stellantis.com/</x:v>
      </x:c>
      <x:c r="J14" s="29" t="str">
        <x:v>https://www.stellantis.com/</x:v>
      </x:c>
      <x:c r="K14" s="29" t="str">
        <x:v>Target employer; search current roles</x:v>
      </x:c>
      <x:c r="L14" s="29" t="str">
        <x:v>2026-08-01</x:v>
      </x:c>
      <x:c r="M14" s="29" t="str">
        <x:v>Not started</x:v>
      </x:c>
      <x:c r="N14" s="29" t="str"/>
      <x:c r="O14" s="29" t="str">
        <x:v>Review careers page</x:v>
      </x:c>
      <x:c r="P14" s="29" t="str"/>
    </x:row>
    <x:row r="15">
      <x:c r="A15" s="29" t="str">
        <x:v>OEM / vehicle manufacturer</x:v>
      </x:c>
      <x:c r="B15" s="29" t="str">
        <x:v>Toyota Motor North America</x:v>
      </x:c>
      <x:c r="C15" s="29" t="str">
        <x:v>Multimedia, connected vehicle and vehicle evaluation</x:v>
      </x:c>
      <x:c r="D15" s="29" t="str">
        <x:v>Multimedia systems; validation; audio quality; systems engineering</x:v>
      </x:c>
      <x:c r="E15" s="29" t="str">
        <x:v>Plano, TX; Ann Arbor/Saline, MI; Georgetown, KY</x:v>
      </x:c>
      <x:c r="F15" s="29" t="str">
        <x:v>Medium</x:v>
      </x:c>
      <x:c r="G15" s="29" t="str">
        <x:v>High</x:v>
      </x:c>
      <x:c r="H15" s="29" t="str">
        <x:v>Large US engineering organization with multimedia and evaluation pathways</x:v>
      </x:c>
      <x:c r="I15" s="29" t="str">
        <x:v>https://careers.toyota.com/</x:v>
      </x:c>
      <x:c r="J15" s="29" t="str">
        <x:v>https://www.toyota.com/usa/operations/map.html</x:v>
      </x:c>
      <x:c r="K15" s="29" t="str">
        <x:v>Target employer; search current roles</x:v>
      </x:c>
      <x:c r="L15" s="29" t="str">
        <x:v>2026-08-01</x:v>
      </x:c>
      <x:c r="M15" s="29" t="str">
        <x:v>Not started</x:v>
      </x:c>
      <x:c r="N15" s="29" t="str"/>
      <x:c r="O15" s="29" t="str">
        <x:v>Review careers page</x:v>
      </x:c>
      <x:c r="P15" s="29" t="str"/>
    </x:row>
    <x:row r="16">
      <x:c r="A16" s="29" t="str">
        <x:v>OEM / vehicle manufacturer</x:v>
      </x:c>
      <x:c r="B16" s="29" t="str">
        <x:v>Honda Development &amp; Manufacturing of America</x:v>
      </x:c>
      <x:c r="C16" s="29" t="str">
        <x:v>Vehicle infotainment, electrical systems and acoustic evaluation</x:v>
      </x:c>
      <x:c r="D16" s="29" t="str">
        <x:v>Infotainment; validation; electrical; NVH; systems</x:v>
      </x:c>
      <x:c r="E16" s="29" t="str">
        <x:v>Raymond, OH; Torrance, CA; other US sites</x:v>
      </x:c>
      <x:c r="F16" s="29" t="str">
        <x:v>Low</x:v>
      </x:c>
      <x:c r="G16" s="29" t="str">
        <x:v>High</x:v>
      </x:c>
      <x:c r="H16" s="29" t="str">
        <x:v>Good OEM route through infotainment, validation or NVH titles</x:v>
      </x:c>
      <x:c r="I16" s="29" t="str">
        <x:v>https://careers.honda.com/</x:v>
      </x:c>
      <x:c r="J16" s="29" t="str">
        <x:v>https://www.honda.com/operations</x:v>
      </x:c>
      <x:c r="K16" s="29" t="str">
        <x:v>Target employer; search current roles</x:v>
      </x:c>
      <x:c r="L16" s="29" t="str">
        <x:v>2026-08-01</x:v>
      </x:c>
      <x:c r="M16" s="29" t="str">
        <x:v>Not started</x:v>
      </x:c>
      <x:c r="N16" s="29" t="str"/>
      <x:c r="O16" s="29" t="str">
        <x:v>Review careers page</x:v>
      </x:c>
      <x:c r="P16" s="29" t="str"/>
    </x:row>
    <x:row r="17">
      <x:c r="A17" s="29" t="str">
        <x:v>OEM / vehicle manufacturer</x:v>
      </x:c>
      <x:c r="B17" s="29" t="str">
        <x:v>Nissan Technical Center North America</x:v>
      </x:c>
      <x:c r="C17" s="29" t="str">
        <x:v>Vehicle systems, infotainment, evaluation and acoustics</x:v>
      </x:c>
      <x:c r="D17" s="29" t="str">
        <x:v>Audio/infotainment; validation; systems; NVH</x:v>
      </x:c>
      <x:c r="E17" s="29" t="str">
        <x:v>Farmington Hills, MI; Smyrna/Franklin, TN; Arizona</x:v>
      </x:c>
      <x:c r="F17" s="29" t="str">
        <x:v>High</x:v>
      </x:c>
      <x:c r="G17" s="29" t="str">
        <x:v>High</x:v>
      </x:c>
      <x:c r="H17" s="29" t="str">
        <x:v>Tennessee footprint gives Southeast relevance</x:v>
      </x:c>
      <x:c r="I17" s="29" t="str">
        <x:v>https://www.nissanmotor.jobs/americas/</x:v>
      </x:c>
      <x:c r="J17" s="29" t="str">
        <x:v>https://www.nissan-global.com/EN/COMPANY/PROFILE/EN_ESTABLISHMENT/NORTH_AMERICA/</x:v>
      </x:c>
      <x:c r="K17" s="29" t="str">
        <x:v>Target employer; search current roles</x:v>
      </x:c>
      <x:c r="L17" s="29" t="str">
        <x:v>2026-08-01</x:v>
      </x:c>
      <x:c r="M17" s="29" t="str">
        <x:v>Not started</x:v>
      </x:c>
      <x:c r="N17" s="29" t="str"/>
      <x:c r="O17" s="29" t="str">
        <x:v>Review careers page</x:v>
      </x:c>
      <x:c r="P17" s="29" t="str"/>
    </x:row>
    <x:row r="18">
      <x:c r="A18" s="29" t="str">
        <x:v>OEM / vehicle manufacturer</x:v>
      </x:c>
      <x:c r="B18" s="29" t="str">
        <x:v>Hyundai Motor Group / Kia</x:v>
      </x:c>
      <x:c r="C18" s="29" t="str">
        <x:v>Infotainment, connected car, validation and vehicle development</x:v>
      </x:c>
      <x:c r="D18" s="29" t="str">
        <x:v>Infotainment; audio systems; validation; software; NVH</x:v>
      </x:c>
      <x:c r="E18" s="29" t="str">
        <x:v>Superior Township, MI; Georgia and Alabama manufacturing/R&amp;D ecosystem</x:v>
      </x:c>
      <x:c r="F18" s="29" t="str">
        <x:v>High</x:v>
      </x:c>
      <x:c r="G18" s="29" t="str">
        <x:v>High</x:v>
      </x:c>
      <x:c r="H18" s="29" t="str">
        <x:v>Strong regional ecosystem around Hyundai/Kia and Georgia production</x:v>
      </x:c>
      <x:c r="I18" s="29" t="str">
        <x:v>https://careers.hyundai.com/</x:v>
      </x:c>
      <x:c r="J18" s="29" t="str">
        <x:v>https://www.hyundaimotorgroup.com/</x:v>
      </x:c>
      <x:c r="K18" s="29" t="str">
        <x:v>Target employer; search current roles</x:v>
      </x:c>
      <x:c r="L18" s="29" t="str">
        <x:v>2026-08-01</x:v>
      </x:c>
      <x:c r="M18" s="29" t="str">
        <x:v>Not started</x:v>
      </x:c>
      <x:c r="N18" s="29" t="str"/>
      <x:c r="O18" s="29" t="str">
        <x:v>Review careers page</x:v>
      </x:c>
      <x:c r="P18" s="29" t="str"/>
    </x:row>
    <x:row r="19">
      <x:c r="A19" s="29" t="str">
        <x:v>OEM / vehicle manufacturer</x:v>
      </x:c>
      <x:c r="B19" s="29" t="str">
        <x:v>Mercedes-Benz USA / MB Research &amp; Development North America</x:v>
      </x:c>
      <x:c r="C19" s="29" t="str">
        <x:v>Vehicle infotainment, user experience and validation</x:v>
      </x:c>
      <x:c r="D19" s="29" t="str">
        <x:v>Infotainment; UX; systems; validation; audio integration</x:v>
      </x:c>
      <x:c r="E19" s="29" t="str">
        <x:v>Atlanta, GA; Sunnyvale/Long Beach, CA; Alabama operations</x:v>
      </x:c>
      <x:c r="F19" s="29" t="str">
        <x:v>High</x:v>
      </x:c>
      <x:c r="G19" s="29" t="str">
        <x:v>Highest</x:v>
      </x:c>
      <x:c r="H19" s="29" t="str">
        <x:v>Atlanta headquarters creates a valuable local automotive network target</x:v>
      </x:c>
      <x:c r="I19" s="29" t="str">
        <x:v>https://group.mercedes-benz.com/careers/</x:v>
      </x:c>
      <x:c r="J19" s="29" t="str">
        <x:v>https://www.mbrdna.com/</x:v>
      </x:c>
      <x:c r="K19" s="29" t="str">
        <x:v>Target employer; search current roles</x:v>
      </x:c>
      <x:c r="L19" s="29" t="str">
        <x:v>2026-08-01</x:v>
      </x:c>
      <x:c r="M19" s="29" t="str">
        <x:v>Not started</x:v>
      </x:c>
      <x:c r="N19" s="29" t="str"/>
      <x:c r="O19" s="29" t="str">
        <x:v>Review careers page</x:v>
      </x:c>
      <x:c r="P19" s="29" t="str"/>
    </x:row>
    <x:row r="20">
      <x:c r="A20" s="29" t="str">
        <x:v>OEM / vehicle manufacturer</x:v>
      </x:c>
      <x:c r="B20" s="29" t="str">
        <x:v>BMW Group</x:v>
      </x:c>
      <x:c r="C20" s="29" t="str">
        <x:v>Vehicle acoustics, infotainment, audio integration and validation</x:v>
      </x:c>
      <x:c r="D20" s="29" t="str">
        <x:v>Acoustics; infotainment; validation; systems; software</x:v>
      </x:c>
      <x:c r="E20" s="29" t="str">
        <x:v>Spartanburg, SC; Woodcliff Lake, NJ; US technical sites</x:v>
      </x:c>
      <x:c r="F20" s="29" t="str">
        <x:v>High</x:v>
      </x:c>
      <x:c r="G20" s="29" t="str">
        <x:v>High</x:v>
      </x:c>
      <x:c r="H20" s="29" t="str">
        <x:v>Spartanburg is a major nearby OEM ecosystem even if audio roles vary</x:v>
      </x:c>
      <x:c r="I20" s="29" t="str">
        <x:v>https://www.bmwgroup.jobs/us/en.html</x:v>
      </x:c>
      <x:c r="J20" s="29" t="str">
        <x:v>https://www.bmwgroup-werke.com/spartanburg/en.html</x:v>
      </x:c>
      <x:c r="K20" s="29" t="str">
        <x:v>Target employer; search current roles</x:v>
      </x:c>
      <x:c r="L20" s="29" t="str">
        <x:v>2026-08-01</x:v>
      </x:c>
      <x:c r="M20" s="29" t="str">
        <x:v>Not started</x:v>
      </x:c>
      <x:c r="N20" s="29" t="str"/>
      <x:c r="O20" s="29" t="str">
        <x:v>Review careers page</x:v>
      </x:c>
      <x:c r="P20" s="29" t="str"/>
    </x:row>
    <x:row r="21">
      <x:c r="A21" s="29" t="str">
        <x:v>OEM / vehicle manufacturer</x:v>
      </x:c>
      <x:c r="B21" s="29" t="str">
        <x:v>Volkswagen Group of America / Audi</x:v>
      </x:c>
      <x:c r="C21" s="29" t="str">
        <x:v>Infotainment, connected vehicle and user experience</x:v>
      </x:c>
      <x:c r="D21" s="29" t="str">
        <x:v>Audio integration; infotainment; validation; software</x:v>
      </x:c>
      <x:c r="E21" s="29" t="str">
        <x:v>Chattanooga, TN; Reston, VA; Michigan/California technical sites</x:v>
      </x:c>
      <x:c r="F21" s="29" t="str">
        <x:v>High</x:v>
      </x:c>
      <x:c r="G21" s="29" t="str">
        <x:v>High</x:v>
      </x:c>
      <x:c r="H21" s="29" t="str">
        <x:v>Chattanooga provides a regional OEM foothold</x:v>
      </x:c>
      <x:c r="I21" s="29" t="str">
        <x:v>https://careers.vw.com/</x:v>
      </x:c>
      <x:c r="J21" s="29" t="str">
        <x:v>https://www.volkswagengroupofamerica.com/</x:v>
      </x:c>
      <x:c r="K21" s="29" t="str">
        <x:v>Target employer; search current roles</x:v>
      </x:c>
      <x:c r="L21" s="29" t="str">
        <x:v>2026-08-01</x:v>
      </x:c>
      <x:c r="M21" s="29" t="str">
        <x:v>Not started</x:v>
      </x:c>
      <x:c r="N21" s="29" t="str"/>
      <x:c r="O21" s="29" t="str">
        <x:v>Review careers page</x:v>
      </x:c>
      <x:c r="P21" s="29" t="str"/>
    </x:row>
    <x:row r="22">
      <x:c r="A22" s="29" t="str">
        <x:v>OEM / vehicle manufacturer</x:v>
      </x:c>
      <x:c r="B22" s="29" t="str">
        <x:v>Volvo Cars</x:v>
      </x:c>
      <x:c r="C22" s="29" t="str">
        <x:v>Vehicle audio, infotainment and user-experience development</x:v>
      </x:c>
      <x:c r="D22" s="29" t="str">
        <x:v>Audio systems; infotainment; UX; validation</x:v>
      </x:c>
      <x:c r="E22" s="29" t="str">
        <x:v>Ridgeville, SC; New Jersey; California—verify by role</x:v>
      </x:c>
      <x:c r="F22" s="29" t="str">
        <x:v>High</x:v>
      </x:c>
      <x:c r="G22" s="29" t="str">
        <x:v>High</x:v>
      </x:c>
      <x:c r="H22" s="29" t="str">
        <x:v>South Carolina operations add regional relevance</x:v>
      </x:c>
      <x:c r="I22" s="29" t="str">
        <x:v>https://www.volvocars.com/us/l/careers/</x:v>
      </x:c>
      <x:c r="J22" s="29" t="str">
        <x:v>https://www.volvocars.com/us/</x:v>
      </x:c>
      <x:c r="K22" s="29" t="str">
        <x:v>Target employer; search current roles</x:v>
      </x:c>
      <x:c r="L22" s="29" t="str">
        <x:v>2026-08-01</x:v>
      </x:c>
      <x:c r="M22" s="29" t="str">
        <x:v>Not started</x:v>
      </x:c>
      <x:c r="N22" s="29" t="str"/>
      <x:c r="O22" s="29" t="str">
        <x:v>Review careers page</x:v>
      </x:c>
      <x:c r="P22" s="29" t="str"/>
    </x:row>
    <x:row r="23">
      <x:c r="A23" s="29" t="str">
        <x:v>OEM / vehicle manufacturer</x:v>
      </x:c>
      <x:c r="B23" s="29" t="str">
        <x:v>Rivian</x:v>
      </x:c>
      <x:c r="C23" s="29" t="str">
        <x:v>Premium vehicle audio, infotainment and embedded software</x:v>
      </x:c>
      <x:c r="D23" s="29" t="str">
        <x:v>Audio systems; DSP; infotainment; validation; embedded software</x:v>
      </x:c>
      <x:c r="E23" s="29" t="str">
        <x:v>Palo Alto/Irvine, CA; Normal, IL; planned Georgia presence</x:v>
      </x:c>
      <x:c r="F23" s="29" t="str">
        <x:v>High</x:v>
      </x:c>
      <x:c r="G23" s="29" t="str">
        <x:v>High</x:v>
      </x:c>
      <x:c r="H23" s="29" t="str">
        <x:v>Strong audio/software fit; location and hiring plans should be rechecked</x:v>
      </x:c>
      <x:c r="I23" s="29" t="str">
        <x:v>https://careers.rivian.com/</x:v>
      </x:c>
      <x:c r="J23" s="29" t="str">
        <x:v>https://rivian.com/</x:v>
      </x:c>
      <x:c r="K23" s="29" t="str">
        <x:v>Target employer; search current roles</x:v>
      </x:c>
      <x:c r="L23" s="29" t="str">
        <x:v>2026-08-01</x:v>
      </x:c>
      <x:c r="M23" s="29" t="str">
        <x:v>Not started</x:v>
      </x:c>
      <x:c r="N23" s="29" t="str"/>
      <x:c r="O23" s="29" t="str">
        <x:v>Review careers page</x:v>
      </x:c>
      <x:c r="P23" s="29" t="str"/>
    </x:row>
    <x:row r="24">
      <x:c r="A24" s="29" t="str">
        <x:v>OEM / vehicle manufacturer</x:v>
      </x:c>
      <x:c r="B24" s="29" t="str">
        <x:v>Lucid Motors</x:v>
      </x:c>
      <x:c r="C24" s="29" t="str">
        <x:v>Premium in-house audio, infotainment and vehicle software</x:v>
      </x:c>
      <x:c r="D24" s="29" t="str">
        <x:v>Audio systems; DSP; acoustic tuning; validation; embedded software</x:v>
      </x:c>
      <x:c r="E24" s="29" t="str">
        <x:v>Newark, CA; Casa Grande, AZ</x:v>
      </x:c>
      <x:c r="F24" s="29" t="str">
        <x:v>Low</x:v>
      </x:c>
      <x:c r="G24" s="29" t="str">
        <x:v>High</x:v>
      </x:c>
      <x:c r="H24" s="29" t="str">
        <x:v>Premium audio focus makes this a strong skill match despite geography</x:v>
      </x:c>
      <x:c r="I24" s="29" t="str">
        <x:v>https://lucidmotors.com/careers</x:v>
      </x:c>
      <x:c r="J24" s="29" t="str">
        <x:v>https://lucidmotors.com/</x:v>
      </x:c>
      <x:c r="K24" s="29" t="str">
        <x:v>Target employer; search current roles</x:v>
      </x:c>
      <x:c r="L24" s="29" t="str">
        <x:v>2026-08-01</x:v>
      </x:c>
      <x:c r="M24" s="29" t="str">
        <x:v>Not started</x:v>
      </x:c>
      <x:c r="N24" s="29" t="str"/>
      <x:c r="O24" s="29" t="str">
        <x:v>Review careers page</x:v>
      </x:c>
      <x:c r="P24" s="29" t="str"/>
    </x:row>
    <x:row r="25">
      <x:c r="A25" s="29" t="str">
        <x:v>OEM / vehicle manufacturer</x:v>
      </x:c>
      <x:c r="B25" s="29" t="str">
        <x:v>Tesla</x:v>
      </x:c>
      <x:c r="C25" s="29" t="str">
        <x:v>Vehicle infotainment, audio systems, signal processing and validation</x:v>
      </x:c>
      <x:c r="D25" s="29" t="str">
        <x:v>Audio DSP; embedded software; systems; validation</x:v>
      </x:c>
      <x:c r="E25" s="29" t="str">
        <x:v>Palo Alto/Fremont, CA; Austin, TX; other sites</x:v>
      </x:c>
      <x:c r="F25" s="29" t="str">
        <x:v>Medium</x:v>
      </x:c>
      <x:c r="G25" s="29" t="str">
        <x:v>High</x:v>
      </x:c>
      <x:c r="H25" s="29" t="str">
        <x:v>In-house engineering route; roles can be software-heavy</x:v>
      </x:c>
      <x:c r="I25" s="29" t="str">
        <x:v>https://www.tesla.com/careers/search/</x:v>
      </x:c>
      <x:c r="J25" s="29" t="str">
        <x:v>https://www.tesla.com/</x:v>
      </x:c>
      <x:c r="K25" s="29" t="str">
        <x:v>Target employer; search current roles</x:v>
      </x:c>
      <x:c r="L25" s="29" t="str">
        <x:v>2026-08-01</x:v>
      </x:c>
      <x:c r="M25" s="29" t="str">
        <x:v>Not started</x:v>
      </x:c>
      <x:c r="N25" s="29" t="str"/>
      <x:c r="O25" s="29" t="str">
        <x:v>Review careers page</x:v>
      </x:c>
      <x:c r="P25" s="29" t="str"/>
    </x:row>
    <x:row r="26">
      <x:c r="A26" s="29" t="str">
        <x:v>DSP / audio software / silicon</x:v>
      </x:c>
      <x:c r="B26" s="29" t="str">
        <x:v>DSP Concepts</x:v>
      </x:c>
      <x:c r="C26" s="29" t="str">
        <x:v>Audio Weaver embedded-audio platform and automotive tuning/processing</x:v>
      </x:c>
      <x:c r="D26" s="29" t="str">
        <x:v>Audio DSP; applications; solutions; validation; customer engineering</x:v>
      </x:c>
      <x:c r="E26" s="29" t="str">
        <x:v>Santa Clara, CA; Boston area; remote possibilities vary</x:v>
      </x:c>
      <x:c r="F26" s="29" t="str">
        <x:v>Low</x:v>
      </x:c>
      <x:c r="G26" s="29" t="str">
        <x:v>Highest</x:v>
      </x:c>
      <x:c r="H26" s="29" t="str">
        <x:v>Direct connection to Jay Krusac’s advice and the target toolchain</x:v>
      </x:c>
      <x:c r="I26" s="29" t="str">
        <x:v>https://dspconcepts.com/careers</x:v>
      </x:c>
      <x:c r="J26" s="29" t="str">
        <x:v>https://dspconcepts.com/automotive</x:v>
      </x:c>
      <x:c r="K26" s="29" t="str">
        <x:v>Employer and automotive relevance verified</x:v>
      </x:c>
      <x:c r="L26" s="29" t="str">
        <x:v>2026-08-01</x:v>
      </x:c>
      <x:c r="M26" s="29" t="str">
        <x:v>Not started</x:v>
      </x:c>
      <x:c r="N26" s="29" t="str"/>
      <x:c r="O26" s="29" t="str">
        <x:v>Review careers page</x:v>
      </x:c>
      <x:c r="P26" s="29" t="str"/>
    </x:row>
    <x:row r="27">
      <x:c r="A27" s="29" t="str">
        <x:v>DSP / audio software / silicon</x:v>
      </x:c>
      <x:c r="B27" s="29" t="str">
        <x:v>Dirac</x:v>
      </x:c>
      <x:c r="C27" s="29" t="str">
        <x:v>Automotive sound optimization, room correction and active acoustics</x:v>
      </x:c>
      <x:c r="D27" s="29" t="str">
        <x:v>Audio DSP; algorithm; tuning; applications; research</x:v>
      </x:c>
      <x:c r="E27" s="29" t="str">
        <x:v>Sweden; Denmark; Germany; US arrangements vary</x:v>
      </x:c>
      <x:c r="F27" s="29" t="str">
        <x:v>Low</x:v>
      </x:c>
      <x:c r="G27" s="29" t="str">
        <x:v>High</x:v>
      </x:c>
      <x:c r="H27" s="29" t="str">
        <x:v>Pure audio-algorithm employer; geography is the main constraint</x:v>
      </x:c>
      <x:c r="I27" s="29" t="str">
        <x:v>https://www.dirac.com/about-us/work-at-dirac</x:v>
      </x:c>
      <x:c r="J27" s="29" t="str">
        <x:v>https://www.dirac.com/automotive</x:v>
      </x:c>
      <x:c r="K27" s="29" t="str">
        <x:v>Employer relevance verified</x:v>
      </x:c>
      <x:c r="L27" s="29" t="str">
        <x:v>2026-08-01</x:v>
      </x:c>
      <x:c r="M27" s="29" t="str">
        <x:v>Not started</x:v>
      </x:c>
      <x:c r="N27" s="29" t="str"/>
      <x:c r="O27" s="29" t="str">
        <x:v>Review careers page</x:v>
      </x:c>
      <x:c r="P27" s="29" t="str"/>
    </x:row>
    <x:row r="28">
      <x:c r="A28" s="29" t="str">
        <x:v>DSP / audio software / silicon</x:v>
      </x:c>
      <x:c r="B28" s="29" t="str">
        <x:v>Dolby Laboratories</x:v>
      </x:c>
      <x:c r="C28" s="29" t="str">
        <x:v>Dolby Atmos automotive ecosystem, rendering and audio technology</x:v>
      </x:c>
      <x:c r="D28" s="29" t="str">
        <x:v>Audio systems; content/format engineering; applications; solutions</x:v>
      </x:c>
      <x:c r="E28" s="29" t="str">
        <x:v>San Francisco, CA; other US sites</x:v>
      </x:c>
      <x:c r="F28" s="29" t="str">
        <x:v>Low</x:v>
      </x:c>
      <x:c r="G28" s="29" t="str">
        <x:v>High</x:v>
      </x:c>
      <x:c r="H28" s="29" t="str">
        <x:v>Connects immersive-production background to automotive playback systems</x:v>
      </x:c>
      <x:c r="I28" s="29" t="str">
        <x:v>https://careers.dolby.com/</x:v>
      </x:c>
      <x:c r="J28" s="29" t="str">
        <x:v>https://professional.dolby.com/automotive/</x:v>
      </x:c>
      <x:c r="K28" s="29" t="str">
        <x:v>Target employer; opening not verified</x:v>
      </x:c>
      <x:c r="L28" s="29" t="str">
        <x:v>2026-08-01</x:v>
      </x:c>
      <x:c r="M28" s="29" t="str">
        <x:v>Not started</x:v>
      </x:c>
      <x:c r="N28" s="29" t="str"/>
      <x:c r="O28" s="29" t="str">
        <x:v>Review careers page</x:v>
      </x:c>
      <x:c r="P28" s="29" t="str"/>
    </x:row>
    <x:row r="29">
      <x:c r="A29" s="29" t="str">
        <x:v>DSP / audio software / silicon</x:v>
      </x:c>
      <x:c r="B29" s="29" t="str">
        <x:v>BlackBerry QNX</x:v>
      </x:c>
      <x:c r="C29" s="29" t="str">
        <x:v>Automotive operating systems and digital-cockpit audio infrastructure</x:v>
      </x:c>
      <x:c r="D29" s="29" t="str">
        <x:v>Embedded software; middleware; systems; integration</x:v>
      </x:c>
      <x:c r="E29" s="29" t="str">
        <x:v>Ottawa; Waterloo; US/remote roles vary</x:v>
      </x:c>
      <x:c r="F29" s="29" t="str">
        <x:v>Low</x:v>
      </x:c>
      <x:c r="G29" s="29" t="str">
        <x:v>Medium</x:v>
      </x:c>
      <x:c r="H29" s="29" t="str">
        <x:v>Audio-adjacent embedded-platform path rather than tuning</x:v>
      </x:c>
      <x:c r="I29" s="29" t="str">
        <x:v>https://blackberry.qnx.com/en/company/careers</x:v>
      </x:c>
      <x:c r="J29" s="29" t="str">
        <x:v>https://blackberry.qnx.com/en/products/automotive</x:v>
      </x:c>
      <x:c r="K29" s="29" t="str">
        <x:v>Target employer; opening not verified</x:v>
      </x:c>
      <x:c r="L29" s="29" t="str">
        <x:v>2026-08-01</x:v>
      </x:c>
      <x:c r="M29" s="29" t="str">
        <x:v>Not started</x:v>
      </x:c>
      <x:c r="N29" s="29" t="str"/>
      <x:c r="O29" s="29" t="str">
        <x:v>Review careers page</x:v>
      </x:c>
      <x:c r="P29" s="29" t="str"/>
    </x:row>
    <x:row r="30">
      <x:c r="A30" s="29" t="str">
        <x:v>DSP / audio software / silicon</x:v>
      </x:c>
      <x:c r="B30" s="29" t="str">
        <x:v>Qualcomm</x:v>
      </x:c>
      <x:c r="C30" s="29" t="str">
        <x:v>Automotive SoCs, cockpit platforms, voice and audio processing</x:v>
      </x:c>
      <x:c r="D30" s="29" t="str">
        <x:v>DSP software; embedded systems; applications; validation</x:v>
      </x:c>
      <x:c r="E30" s="29" t="str">
        <x:v>San Diego, CA; multiple US semiconductor sites</x:v>
      </x:c>
      <x:c r="F30" s="29" t="str">
        <x:v>Low</x:v>
      </x:c>
      <x:c r="G30" s="29" t="str">
        <x:v>High</x:v>
      </x:c>
      <x:c r="H30" s="29" t="str">
        <x:v>Silicon/platform route for advanced DSP and embedded work</x:v>
      </x:c>
      <x:c r="I30" s="29" t="str">
        <x:v>https://www.qualcomm.com/company/careers</x:v>
      </x:c>
      <x:c r="J30" s="29" t="str">
        <x:v>https://www.qualcomm.com/products/automotive</x:v>
      </x:c>
      <x:c r="K30" s="29" t="str">
        <x:v>Target employer; opening not verified</x:v>
      </x:c>
      <x:c r="L30" s="29" t="str">
        <x:v>2026-08-01</x:v>
      </x:c>
      <x:c r="M30" s="29" t="str">
        <x:v>Not started</x:v>
      </x:c>
      <x:c r="N30" s="29" t="str"/>
      <x:c r="O30" s="29" t="str">
        <x:v>Review careers page</x:v>
      </x:c>
      <x:c r="P30" s="29" t="str"/>
    </x:row>
    <x:row r="31">
      <x:c r="A31" s="29" t="str">
        <x:v>DSP / audio software / silicon</x:v>
      </x:c>
      <x:c r="B31" s="29" t="str">
        <x:v>Analog Devices</x:v>
      </x:c>
      <x:c r="C31" s="29" t="str">
        <x:v>Automotive audio processors, A2B networking and signal-chain components</x:v>
      </x:c>
      <x:c r="D31" s="29" t="str">
        <x:v>Applications; DSP; systems; validation; hardware/software</x:v>
      </x:c>
      <x:c r="E31" s="29" t="str">
        <x:v>Wilmington, MA; San Jose, CA; multiple US sites</x:v>
      </x:c>
      <x:c r="F31" s="29" t="str">
        <x:v>Low</x:v>
      </x:c>
      <x:c r="G31" s="29" t="str">
        <x:v>High</x:v>
      </x:c>
      <x:c r="H31" s="29" t="str">
        <x:v>Strong bridge between audio DSP and electronics</x:v>
      </x:c>
      <x:c r="I31" s="29" t="str">
        <x:v>https://www.analog.com/en/careers.html</x:v>
      </x:c>
      <x:c r="J31" s="29" t="str">
        <x:v>https://www.analog.com/en/solutions/automotive.html</x:v>
      </x:c>
      <x:c r="K31" s="29" t="str">
        <x:v>Target employer; opening not verified</x:v>
      </x:c>
      <x:c r="L31" s="29" t="str">
        <x:v>2026-08-01</x:v>
      </x:c>
      <x:c r="M31" s="29" t="str">
        <x:v>Not started</x:v>
      </x:c>
      <x:c r="N31" s="29" t="str"/>
      <x:c r="O31" s="29" t="str">
        <x:v>Review careers page</x:v>
      </x:c>
      <x:c r="P31" s="29" t="str"/>
    </x:row>
    <x:row r="32">
      <x:c r="A32" s="29" t="str">
        <x:v>DSP / audio software / silicon</x:v>
      </x:c>
      <x:c r="B32" s="29" t="str">
        <x:v>NXP Semiconductors</x:v>
      </x:c>
      <x:c r="C32" s="29" t="str">
        <x:v>Automotive processors, infotainment, amplifiers and connectivity</x:v>
      </x:c>
      <x:c r="D32" s="29" t="str">
        <x:v>Applications; embedded DSP; validation; systems; software</x:v>
      </x:c>
      <x:c r="E32" s="29" t="str">
        <x:v>Austin, TX; other US semiconductor sites</x:v>
      </x:c>
      <x:c r="F32" s="29" t="str">
        <x:v>Medium</x:v>
      </x:c>
      <x:c r="G32" s="29" t="str">
        <x:v>High</x:v>
      </x:c>
      <x:c r="H32" s="29" t="str">
        <x:v>Good embedded/semiconductor route with automotive platform exposure</x:v>
      </x:c>
      <x:c r="I32" s="29" t="str">
        <x:v>https://www.nxp.com/company/about-nxp/careers:CAREERS</x:v>
      </x:c>
      <x:c r="J32" s="29" t="str">
        <x:v>https://www.nxp.com/applications/automotive:AUTOMOTIVE</x:v>
      </x:c>
      <x:c r="K32" s="29" t="str">
        <x:v>Target employer; opening not verified</x:v>
      </x:c>
      <x:c r="L32" s="29" t="str">
        <x:v>2026-08-01</x:v>
      </x:c>
      <x:c r="M32" s="29" t="str">
        <x:v>Not started</x:v>
      </x:c>
      <x:c r="N32" s="29" t="str"/>
      <x:c r="O32" s="29" t="str">
        <x:v>Review careers page</x:v>
      </x:c>
      <x:c r="P32" s="29" t="str"/>
    </x:row>
    <x:row r="33">
      <x:c r="A33" s="29" t="str">
        <x:v>DSP / audio software / silicon</x:v>
      </x:c>
      <x:c r="B33" s="29" t="str">
        <x:v>Texas Instruments</x:v>
      </x:c>
      <x:c r="C33" s="29" t="str">
        <x:v>Automotive audio amplifiers, DSPs, ADC/DAC and signal-chain devices</x:v>
      </x:c>
      <x:c r="D33" s="29" t="str">
        <x:v>Applications; validation; systems; product engineering</x:v>
      </x:c>
      <x:c r="E33" s="29" t="str">
        <x:v>Dallas, TX; multiple US sites</x:v>
      </x:c>
      <x:c r="F33" s="29" t="str">
        <x:v>Medium</x:v>
      </x:c>
      <x:c r="G33" s="29" t="str">
        <x:v>High</x:v>
      </x:c>
      <x:c r="H33" s="29" t="str">
        <x:v>Strong technical foundation for audio electronics and applications work</x:v>
      </x:c>
      <x:c r="I33" s="29" t="str">
        <x:v>https://careers.ti.com/</x:v>
      </x:c>
      <x:c r="J33" s="29" t="str">
        <x:v>https://www.ti.com/automotive/overview.html</x:v>
      </x:c>
      <x:c r="K33" s="29" t="str">
        <x:v>Target employer; opening not verified</x:v>
      </x:c>
      <x:c r="L33" s="29" t="str">
        <x:v>2026-08-01</x:v>
      </x:c>
      <x:c r="M33" s="29" t="str">
        <x:v>Not started</x:v>
      </x:c>
      <x:c r="N33" s="29" t="str"/>
      <x:c r="O33" s="29" t="str">
        <x:v>Review careers page</x:v>
      </x:c>
      <x:c r="P33" s="29" t="str"/>
    </x:row>
    <x:row r="34">
      <x:c r="A34" s="29" t="str">
        <x:v>Audio systems / components</x:v>
      </x:c>
      <x:c r="B34" s="29" t="str">
        <x:v>Bose Automotive</x:v>
      </x:c>
      <x:c r="C34" s="29" t="str">
        <x:v>OEM premium audio, SeatCentric audio and active sound management</x:v>
      </x:c>
      <x:c r="D34" s="29" t="str">
        <x:v>Acoustic systems; tuning; DSP; validation; research</x:v>
      </x:c>
      <x:c r="E34" s="29" t="str">
        <x:v>Massachusetts; Michigan/customer locations may vary</x:v>
      </x:c>
      <x:c r="F34" s="29" t="str">
        <x:v>Low</x:v>
      </x:c>
      <x:c r="G34" s="29" t="str">
        <x:v>Highest</x:v>
      </x:c>
      <x:c r="H34" s="29" t="str">
        <x:v>Direct premium automotive-audio employer with broad acoustic roles</x:v>
      </x:c>
      <x:c r="I34" s="29" t="str">
        <x:v>https://www.bose.com/careers</x:v>
      </x:c>
      <x:c r="J34" s="29" t="str">
        <x:v>https://automotive.bose.com/</x:v>
      </x:c>
      <x:c r="K34" s="29" t="str">
        <x:v>Automotive relevance verified</x:v>
      </x:c>
      <x:c r="L34" s="29" t="str">
        <x:v>2026-08-01</x:v>
      </x:c>
      <x:c r="M34" s="29" t="str">
        <x:v>Not started</x:v>
      </x:c>
      <x:c r="N34" s="29" t="str"/>
      <x:c r="O34" s="29" t="str">
        <x:v>Review careers page</x:v>
      </x:c>
      <x:c r="P34" s="29" t="str"/>
    </x:row>
    <x:row r="35">
      <x:c r="A35" s="29" t="str">
        <x:v>Audio systems / components</x:v>
      </x:c>
      <x:c r="B35" s="29" t="str">
        <x:v>Premium Sound Solutions (PSS)</x:v>
      </x:c>
      <x:c r="C35" s="29" t="str">
        <x:v>Automotive loudspeakers and sound-system solutions</x:v>
      </x:c>
      <x:c r="D35" s="29" t="str">
        <x:v>Transducer; acoustics; applications; validation; systems</x:v>
      </x:c>
      <x:c r="E35" s="29" t="str">
        <x:v>Michigan/customer-facing US roles vary; global engineering</x:v>
      </x:c>
      <x:c r="F35" s="29" t="str">
        <x:v>Low</x:v>
      </x:c>
      <x:c r="G35" s="29" t="str">
        <x:v>High</x:v>
      </x:c>
      <x:c r="H35" s="29" t="str">
        <x:v>Direct loudspeaker and OEM audio-system supplier</x:v>
      </x:c>
      <x:c r="I35" s="29" t="str">
        <x:v>https://www.premiumsoundsolutions.com/careers</x:v>
      </x:c>
      <x:c r="J35" s="29" t="str">
        <x:v>https://www.premiumsoundsolutions.com/</x:v>
      </x:c>
      <x:c r="K35" s="29" t="str">
        <x:v>Target employer; opening not verified</x:v>
      </x:c>
      <x:c r="L35" s="29" t="str">
        <x:v>2026-08-01</x:v>
      </x:c>
      <x:c r="M35" s="29" t="str">
        <x:v>Not started</x:v>
      </x:c>
      <x:c r="N35" s="29" t="str"/>
      <x:c r="O35" s="29" t="str">
        <x:v>Review careers page</x:v>
      </x:c>
      <x:c r="P35" s="29" t="str"/>
    </x:row>
    <x:row r="36">
      <x:c r="A36" s="29" t="str">
        <x:v>Audio systems / components</x:v>
      </x:c>
      <x:c r="B36" s="29" t="str">
        <x:v>Tymphany</x:v>
      </x:c>
      <x:c r="C36" s="29" t="str">
        <x:v>Loudspeaker drivers, transducers and audio-system engineering</x:v>
      </x:c>
      <x:c r="D36" s="29" t="str">
        <x:v>Transducer; acoustic design; applications; validation</x:v>
      </x:c>
      <x:c r="E36" s="29" t="str">
        <x:v>US/global locations vary</x:v>
      </x:c>
      <x:c r="F36" s="29" t="str">
        <x:v>Low</x:v>
      </x:c>
      <x:c r="G36" s="29" t="str">
        <x:v>Medium</x:v>
      </x:c>
      <x:c r="H36" s="29" t="str">
        <x:v>Relevant for loudspeaker engineering and acoustic components</x:v>
      </x:c>
      <x:c r="I36" s="29" t="str">
        <x:v>https://www.tymphany.com/careers/</x:v>
      </x:c>
      <x:c r="J36" s="29" t="str">
        <x:v>https://www.tymphany.com/</x:v>
      </x:c>
      <x:c r="K36" s="29" t="str">
        <x:v>Target employer; opening not verified</x:v>
      </x:c>
      <x:c r="L36" s="29" t="str">
        <x:v>2026-08-01</x:v>
      </x:c>
      <x:c r="M36" s="29" t="str">
        <x:v>Not started</x:v>
      </x:c>
      <x:c r="N36" s="29" t="str"/>
      <x:c r="O36" s="29" t="str">
        <x:v>Review careers page</x:v>
      </x:c>
      <x:c r="P36" s="29" t="str"/>
    </x:row>
    <x:row r="37">
      <x:c r="A37" s="29" t="str">
        <x:v>Audio systems / components</x:v>
      </x:c>
      <x:c r="B37" s="29" t="str">
        <x:v>Foster Electric</x:v>
      </x:c>
      <x:c r="C37" s="29" t="str">
        <x:v>Automotive loudspeakers and acoustic components</x:v>
      </x:c>
      <x:c r="D37" s="29" t="str">
        <x:v>Transducer; acoustic engineering; quality; applications</x:v>
      </x:c>
      <x:c r="E37" s="29" t="str">
        <x:v>North American/customer sites vary</x:v>
      </x:c>
      <x:c r="F37" s="29" t="str">
        <x:v>Low</x:v>
      </x:c>
      <x:c r="G37" s="29" t="str">
        <x:v>Medium</x:v>
      </x:c>
      <x:c r="H37" s="29" t="str">
        <x:v>Direct component supplier; verify US engineering openings carefully</x:v>
      </x:c>
      <x:c r="I37" s="29" t="str">
        <x:v>https://www.foster-electric.com/careers/</x:v>
      </x:c>
      <x:c r="J37" s="29" t="str">
        <x:v>https://www.foster-electric.com/</x:v>
      </x:c>
      <x:c r="K37" s="29" t="str">
        <x:v>Target employer; opening not verified</x:v>
      </x:c>
      <x:c r="L37" s="29" t="str">
        <x:v>2026-08-01</x:v>
      </x:c>
      <x:c r="M37" s="29" t="str">
        <x:v>Not started</x:v>
      </x:c>
      <x:c r="N37" s="29" t="str"/>
      <x:c r="O37" s="29" t="str">
        <x:v>Review careers page</x:v>
      </x:c>
      <x:c r="P37" s="29" t="str"/>
    </x:row>
    <x:row r="38">
      <x:c r="A38" s="29" t="str">
        <x:v>Audio systems / components</x:v>
      </x:c>
      <x:c r="B38" s="29" t="str">
        <x:v>AAC Technologies</x:v>
      </x:c>
      <x:c r="C38" s="29" t="str">
        <x:v>Speakers, microphones, haptics and acoustic components</x:v>
      </x:c>
      <x:c r="D38" s="29" t="str">
        <x:v>Acoustics; transducers; applications; validation</x:v>
      </x:c>
      <x:c r="E38" s="29" t="str">
        <x:v>US roles vary; major global footprint</x:v>
      </x:c>
      <x:c r="F38" s="29" t="str">
        <x:v>Low</x:v>
      </x:c>
      <x:c r="G38" s="29" t="str">
        <x:v>Medium</x:v>
      </x:c>
      <x:c r="H38" s="29" t="str">
        <x:v>Component-level path spanning microphones and speakers</x:v>
      </x:c>
      <x:c r="I38" s="29" t="str">
        <x:v>https://www.aactechnologies.com/en/careers</x:v>
      </x:c>
      <x:c r="J38" s="29" t="str">
        <x:v>https://www.aactechnologies.com/en</x:v>
      </x:c>
      <x:c r="K38" s="29" t="str">
        <x:v>Target employer; opening not verified</x:v>
      </x:c>
      <x:c r="L38" s="29" t="str">
        <x:v>2026-08-01</x:v>
      </x:c>
      <x:c r="M38" s="29" t="str">
        <x:v>Not started</x:v>
      </x:c>
      <x:c r="N38" s="29" t="str"/>
      <x:c r="O38" s="29" t="str">
        <x:v>Review careers page</x:v>
      </x:c>
      <x:c r="P38" s="29" t="str"/>
    </x:row>
    <x:row r="39">
      <x:c r="A39" s="29" t="str">
        <x:v>Audio systems / components</x:v>
      </x:c>
      <x:c r="B39" s="29" t="str">
        <x:v>Sonavox</x:v>
      </x:c>
      <x:c r="C39" s="29" t="str">
        <x:v>Automotive loudspeakers and acoustic systems</x:v>
      </x:c>
      <x:c r="D39" s="29" t="str">
        <x:v>Transducer; acoustics; systems; quality</x:v>
      </x:c>
      <x:c r="E39" s="29" t="str">
        <x:v>North American and global sites vary</x:v>
      </x:c>
      <x:c r="F39" s="29" t="str">
        <x:v>Low</x:v>
      </x:c>
      <x:c r="G39" s="29" t="str">
        <x:v>Medium</x:v>
      </x:c>
      <x:c r="H39" s="29" t="str">
        <x:v>Direct automotive loudspeaker supplier; location may be limiting</x:v>
      </x:c>
      <x:c r="I39" s="29" t="str">
        <x:v>https://www.sonavox.com/</x:v>
      </x:c>
      <x:c r="J39" s="29" t="str">
        <x:v>https://www.sonavox.com/</x:v>
      </x:c>
      <x:c r="K39" s="29" t="str">
        <x:v>Research contact/careers route</x:v>
      </x:c>
      <x:c r="L39" s="29" t="str">
        <x:v>2026-08-01</x:v>
      </x:c>
      <x:c r="M39" s="29" t="str">
        <x:v>Not started</x:v>
      </x:c>
      <x:c r="N39" s="29" t="str"/>
      <x:c r="O39" s="29" t="str">
        <x:v>Review careers page</x:v>
      </x:c>
      <x:c r="P39" s="29" t="str"/>
    </x:row>
    <x:row r="40">
      <x:c r="A40" s="29" t="str">
        <x:v>Measurement / NVH / validation</x:v>
      </x:c>
      <x:c r="B40" s="29" t="str">
        <x:v>HEAD acoustics</x:v>
      </x:c>
      <x:c r="C40" s="29" t="str">
        <x:v>Binaural measurement, jury testing, vehicle acoustics, NVH and analysis software</x:v>
      </x:c>
      <x:c r="D40" s="29" t="str">
        <x:v>Acoustic applications; measurement; NVH; software; consulting</x:v>
      </x:c>
      <x:c r="E40" s="29" t="str">
        <x:v>Brighton, MI (HEAD acoustics, Inc.); Germany and global sites</x:v>
      </x:c>
      <x:c r="F40" s="29" t="str">
        <x:v>Low</x:v>
      </x:c>
      <x:c r="G40" s="29" t="str">
        <x:v>Highest</x:v>
      </x:c>
      <x:c r="H40" s="29" t="str">
        <x:v>Excellent match for critical listening plus measurement development</x:v>
      </x:c>
      <x:c r="I40" s="29" t="str">
        <x:v>https://www.head-acoustics.com/career/</x:v>
      </x:c>
      <x:c r="J40" s="29" t="str">
        <x:v>https://www.head-acoustics.com/</x:v>
      </x:c>
      <x:c r="K40" s="29" t="str">
        <x:v>Employer and technical scope verified</x:v>
      </x:c>
      <x:c r="L40" s="29" t="str">
        <x:v>2026-08-01</x:v>
      </x:c>
      <x:c r="M40" s="29" t="str">
        <x:v>Not started</x:v>
      </x:c>
      <x:c r="N40" s="29" t="str"/>
      <x:c r="O40" s="29" t="str">
        <x:v>Review careers page</x:v>
      </x:c>
      <x:c r="P40" s="29" t="str"/>
    </x:row>
    <x:row r="41">
      <x:c r="A41" s="29" t="str">
        <x:v>Measurement / NVH / validation</x:v>
      </x:c>
      <x:c r="B41" s="29" t="str">
        <x:v>HBK (Brüel &amp; Kjær / Hottinger Brüel &amp; Kjær)</x:v>
      </x:c>
      <x:c r="C41" s="29" t="str">
        <x:v>Sound and vibration measurement, NVH testing and analysis</x:v>
      </x:c>
      <x:c r="D41" s="29" t="str">
        <x:v>Applications; NVH; test; systems; technical sales/support</x:v>
      </x:c>
      <x:c r="E41" s="29" t="str">
        <x:v>Multiple US sites; verify current role location</x:v>
      </x:c>
      <x:c r="F41" s="29" t="str">
        <x:v>Low</x:v>
      </x:c>
      <x:c r="G41" s="29" t="str">
        <x:v>High</x:v>
      </x:c>
      <x:c r="H41" s="29" t="str">
        <x:v>Core instrumentation and vehicle-NVH employer</x:v>
      </x:c>
      <x:c r="I41" s="29" t="str">
        <x:v>https://www.hbkworld.com/en/about/careers</x:v>
      </x:c>
      <x:c r="J41" s="29" t="str">
        <x:v>https://www.hbkworld.com/en/solutions/industries/automotive</x:v>
      </x:c>
      <x:c r="K41" s="29" t="str">
        <x:v>Target employer; opening not verified</x:v>
      </x:c>
      <x:c r="L41" s="29" t="str">
        <x:v>2026-08-01</x:v>
      </x:c>
      <x:c r="M41" s="29" t="str">
        <x:v>Not started</x:v>
      </x:c>
      <x:c r="N41" s="29" t="str"/>
      <x:c r="O41" s="29" t="str">
        <x:v>Review careers page</x:v>
      </x:c>
      <x:c r="P41" s="29" t="str"/>
    </x:row>
    <x:row r="42">
      <x:c r="A42" s="29" t="str">
        <x:v>Measurement / NVH / validation</x:v>
      </x:c>
      <x:c r="B42" s="29" t="str">
        <x:v>Audio Precision</x:v>
      </x:c>
      <x:c r="C42" s="29" t="str">
        <x:v>Audio analyzers, electroacoustic testing and measurement software</x:v>
      </x:c>
      <x:c r="D42" s="29" t="str">
        <x:v>Applications; test; validation; software; product engineering</x:v>
      </x:c>
      <x:c r="E42" s="29" t="str">
        <x:v>Beaverton, OR</x:v>
      </x:c>
      <x:c r="F42" s="29" t="str">
        <x:v>Low</x:v>
      </x:c>
      <x:c r="G42" s="29" t="str">
        <x:v>High</x:v>
      </x:c>
      <x:c r="H42" s="29" t="str">
        <x:v>Direct continuation of prior Audio Precision validation experience</x:v>
      </x:c>
      <x:c r="I42" s="29" t="str">
        <x:v>https://www.ap.com/company/careers/</x:v>
      </x:c>
      <x:c r="J42" s="29" t="str">
        <x:v>https://www.ap.com/</x:v>
      </x:c>
      <x:c r="K42" s="29" t="str">
        <x:v>Target employer; opening not verified</x:v>
      </x:c>
      <x:c r="L42" s="29" t="str">
        <x:v>2026-08-01</x:v>
      </x:c>
      <x:c r="M42" s="29" t="str">
        <x:v>Not started</x:v>
      </x:c>
      <x:c r="N42" s="29" t="str"/>
      <x:c r="O42" s="29" t="str">
        <x:v>Review careers page</x:v>
      </x:c>
      <x:c r="P42" s="29" t="str"/>
    </x:row>
    <x:row r="43">
      <x:c r="A43" s="29" t="str">
        <x:v>Measurement / NVH / validation</x:v>
      </x:c>
      <x:c r="B43" s="29" t="str">
        <x:v>GRAS Sound &amp; Vibration</x:v>
      </x:c>
      <x:c r="C43" s="29" t="str">
        <x:v>Measurement microphones, artificial ears and acoustic test systems</x:v>
      </x:c>
      <x:c r="D43" s="29" t="str">
        <x:v>Applications; calibration; acoustic test; product engineering</x:v>
      </x:c>
      <x:c r="E43" s="29" t="str">
        <x:v>US sales/application presence; Denmark engineering</x:v>
      </x:c>
      <x:c r="F43" s="29" t="str">
        <x:v>Low</x:v>
      </x:c>
      <x:c r="G43" s="29" t="str">
        <x:v>Medium</x:v>
      </x:c>
      <x:c r="H43" s="29" t="str">
        <x:v>Relevant to vehicle measurement microphone and calibration questions</x:v>
      </x:c>
      <x:c r="I43" s="29" t="str">
        <x:v>https://www.grasacoustics.com/about-gras/career</x:v>
      </x:c>
      <x:c r="J43" s="29" t="str">
        <x:v>https://www.grasacoustics.com/</x:v>
      </x:c>
      <x:c r="K43" s="29" t="str">
        <x:v>Target employer; opening not verified</x:v>
      </x:c>
      <x:c r="L43" s="29" t="str">
        <x:v>2026-08-01</x:v>
      </x:c>
      <x:c r="M43" s="29" t="str">
        <x:v>Not started</x:v>
      </x:c>
      <x:c r="N43" s="29" t="str"/>
      <x:c r="O43" s="29" t="str">
        <x:v>Review careers page</x:v>
      </x:c>
      <x:c r="P43" s="29" t="str"/>
    </x:row>
    <x:row r="44">
      <x:c r="A44" s="29" t="str">
        <x:v>Measurement / NVH / validation</x:v>
      </x:c>
      <x:c r="B44" s="29" t="str">
        <x:v>Klippel</x:v>
      </x:c>
      <x:c r="C44" s="29" t="str">
        <x:v>Loudspeaker and audio-system measurement and diagnostics</x:v>
      </x:c>
      <x:c r="D44" s="29" t="str">
        <x:v>Applications; electroacoustics; measurement; software</x:v>
      </x:c>
      <x:c r="E44" s="29" t="str">
        <x:v>Germany; international/customer-facing roles vary</x:v>
      </x:c>
      <x:c r="F44" s="29" t="str">
        <x:v>Low</x:v>
      </x:c>
      <x:c r="G44" s="29" t="str">
        <x:v>Medium</x:v>
      </x:c>
      <x:c r="H44" s="29" t="str">
        <x:v>High-value technical target despite limited US geography</x:v>
      </x:c>
      <x:c r="I44" s="29" t="str">
        <x:v>https://www.klippel.de/company/jobs.html</x:v>
      </x:c>
      <x:c r="J44" s="29" t="str">
        <x:v>https://www.klippel.de/</x:v>
      </x:c>
      <x:c r="K44" s="29" t="str">
        <x:v>Target employer; opening not verified</x:v>
      </x:c>
      <x:c r="L44" s="29" t="str">
        <x:v>2026-08-01</x:v>
      </x:c>
      <x:c r="M44" s="29" t="str">
        <x:v>Not started</x:v>
      </x:c>
      <x:c r="N44" s="29" t="str"/>
      <x:c r="O44" s="29" t="str">
        <x:v>Review careers page</x:v>
      </x:c>
      <x:c r="P44" s="29" t="str"/>
    </x:row>
    <x:row r="45">
      <x:c r="A45" s="29" t="str">
        <x:v>Measurement / NVH / validation</x:v>
      </x:c>
      <x:c r="B45" s="29" t="str">
        <x:v>Siemens Digital Industries Software / Simcenter</x:v>
      </x:c>
      <x:c r="C45" s="29" t="str">
        <x:v>Vehicle acoustics, NVH simulation, testing and engineering software</x:v>
      </x:c>
      <x:c r="D45" s="29" t="str">
        <x:v>Application engineering; NVH; simulation; technical consulting</x:v>
      </x:c>
      <x:c r="E45" s="29" t="str">
        <x:v>Multiple US sites</x:v>
      </x:c>
      <x:c r="F45" s="29" t="str">
        <x:v>Medium</x:v>
      </x:c>
      <x:c r="G45" s="29" t="str">
        <x:v>High</x:v>
      </x:c>
      <x:c r="H45" s="29" t="str">
        <x:v>Combines acoustics, software and consulting-oriented work</x:v>
      </x:c>
      <x:c r="I45" s="29" t="str">
        <x:v>https://jobs.siemens.com/careers</x:v>
      </x:c>
      <x:c r="J45" s="29" t="str">
        <x:v>https://plm.sw.siemens.com/en-US/simcenter/mechanical-simulation/acoustics/</x:v>
      </x:c>
      <x:c r="K45" s="29" t="str">
        <x:v>Target employer; opening not verified</x:v>
      </x:c>
      <x:c r="L45" s="29" t="str">
        <x:v>2026-08-01</x:v>
      </x:c>
      <x:c r="M45" s="29" t="str">
        <x:v>Not started</x:v>
      </x:c>
      <x:c r="N45" s="29" t="str"/>
      <x:c r="O45" s="29" t="str">
        <x:v>Review careers page</x:v>
      </x:c>
      <x:c r="P45" s="29" t="str"/>
    </x:row>
    <x:row r="46">
      <x:c r="A46" s="29" t="str">
        <x:v>Engineering services / consulting</x:v>
      </x:c>
      <x:c r="B46" s="29" t="str">
        <x:v>FEV North America</x:v>
      </x:c>
      <x:c r="C46" s="29" t="str">
        <x:v>Vehicle development, infotainment, acoustics/NVH and validation services</x:v>
      </x:c>
      <x:c r="D46" s="29" t="str">
        <x:v>Systems; NVH; test; validation; embedded software</x:v>
      </x:c>
      <x:c r="E46" s="29" t="str">
        <x:v>Auburn Hills, MI and other US sites</x:v>
      </x:c>
      <x:c r="F46" s="29" t="str">
        <x:v>Low</x:v>
      </x:c>
      <x:c r="G46" s="29" t="str">
        <x:v>High</x:v>
      </x:c>
      <x:c r="H46" s="29" t="str">
        <x:v>Consulting route into multiple OEM programs</x:v>
      </x:c>
      <x:c r="I46" s="29" t="str">
        <x:v>https://www.fev.com/en/career/</x:v>
      </x:c>
      <x:c r="J46" s="29" t="str">
        <x:v>https://www.fev.com/en/</x:v>
      </x:c>
      <x:c r="K46" s="29" t="str">
        <x:v>Target employer; opening not verified</x:v>
      </x:c>
      <x:c r="L46" s="29" t="str">
        <x:v>2026-08-01</x:v>
      </x:c>
      <x:c r="M46" s="29" t="str">
        <x:v>Not started</x:v>
      </x:c>
      <x:c r="N46" s="29" t="str"/>
      <x:c r="O46" s="29" t="str">
        <x:v>Review careers page</x:v>
      </x:c>
      <x:c r="P46" s="29" t="str"/>
    </x:row>
    <x:row r="47">
      <x:c r="A47" s="29" t="str">
        <x:v>Engineering services / consulting</x:v>
      </x:c>
      <x:c r="B47" s="29" t="str">
        <x:v>AVL North America</x:v>
      </x:c>
      <x:c r="C47" s="29" t="str">
        <x:v>Vehicle engineering, testing, simulation and sound/NVH</x:v>
      </x:c>
      <x:c r="D47" s="29" t="str">
        <x:v>NVH; test systems; validation; applications; consulting</x:v>
      </x:c>
      <x:c r="E47" s="29" t="str">
        <x:v>Plymouth, MI and other US sites</x:v>
      </x:c>
      <x:c r="F47" s="29" t="str">
        <x:v>Low</x:v>
      </x:c>
      <x:c r="G47" s="29" t="str">
        <x:v>High</x:v>
      </x:c>
      <x:c r="H47" s="29" t="str">
        <x:v>Strong vehicle-test and consulting bridge</x:v>
      </x:c>
      <x:c r="I47" s="29" t="str">
        <x:v>https://jobs.avl.com/</x:v>
      </x:c>
      <x:c r="J47" s="29" t="str">
        <x:v>https://www.avl.com/en-us</x:v>
      </x:c>
      <x:c r="K47" s="29" t="str">
        <x:v>Target employer; opening not verified</x:v>
      </x:c>
      <x:c r="L47" s="29" t="str">
        <x:v>2026-08-01</x:v>
      </x:c>
      <x:c r="M47" s="29" t="str">
        <x:v>Not started</x:v>
      </x:c>
      <x:c r="N47" s="29" t="str"/>
      <x:c r="O47" s="29" t="str">
        <x:v>Review careers page</x:v>
      </x:c>
      <x:c r="P47" s="29" t="str"/>
    </x:row>
    <x:row r="48">
      <x:c r="A48" s="29" t="str">
        <x:v>Engineering services / consulting</x:v>
      </x:c>
      <x:c r="B48" s="29" t="str">
        <x:v>EDAG</x:v>
      </x:c>
      <x:c r="C48" s="29" t="str">
        <x:v>Automotive product development, electrical/electronic and validation services</x:v>
      </x:c>
      <x:c r="D48" s="29" t="str">
        <x:v>Systems; E/E; test; validation; program engineering</x:v>
      </x:c>
      <x:c r="E48" s="29" t="str">
        <x:v>Troy, MI and other US sites</x:v>
      </x:c>
      <x:c r="F48" s="29" t="str">
        <x:v>Low</x:v>
      </x:c>
      <x:c r="G48" s="29" t="str">
        <x:v>Medium</x:v>
      </x:c>
      <x:c r="H48" s="29" t="str">
        <x:v>Broad engineering-services entry route; filter for cockpit/audio work</x:v>
      </x:c>
      <x:c r="I48" s="29" t="str">
        <x:v>https://www.edag.com/en/career</x:v>
      </x:c>
      <x:c r="J48" s="29" t="str">
        <x:v>https://www.edag.com/</x:v>
      </x:c>
      <x:c r="K48" s="29" t="str">
        <x:v>Target employer; opening not verified</x:v>
      </x:c>
      <x:c r="L48" s="29" t="str">
        <x:v>2026-08-01</x:v>
      </x:c>
      <x:c r="M48" s="29" t="str">
        <x:v>Not started</x:v>
      </x:c>
      <x:c r="N48" s="29" t="str"/>
      <x:c r="O48" s="29" t="str">
        <x:v>Review careers page</x:v>
      </x:c>
      <x:c r="P48" s="29" t="str"/>
    </x:row>
    <x:row r="49">
      <x:c r="A49" s="29" t="str">
        <x:v>Engineering services / consulting</x:v>
      </x:c>
      <x:c r="B49" s="29" t="str">
        <x:v>Bertrandt</x:v>
      </x:c>
      <x:c r="C49" s="29" t="str">
        <x:v>Automotive engineering services including electronics, software and testing</x:v>
      </x:c>
      <x:c r="D49" s="29" t="str">
        <x:v>Systems; test; embedded software; validation</x:v>
      </x:c>
      <x:c r="E49" s="29" t="str">
        <x:v>Detroit-area and other US customer sites</x:v>
      </x:c>
      <x:c r="F49" s="29" t="str">
        <x:v>Low</x:v>
      </x:c>
      <x:c r="G49" s="29" t="str">
        <x:v>Medium</x:v>
      </x:c>
      <x:c r="H49" s="29" t="str">
        <x:v>Contract/consulting path into OEM and supplier programs</x:v>
      </x:c>
      <x:c r="I49" s="29" t="str">
        <x:v>https://www.bertrandt.com/en/career</x:v>
      </x:c>
      <x:c r="J49" s="29" t="str">
        <x:v>https://www.bertrandt.com/en/</x:v>
      </x:c>
      <x:c r="K49" s="29" t="str">
        <x:v>Target employer; opening not verified</x:v>
      </x:c>
      <x:c r="L49" s="29" t="str">
        <x:v>2026-08-01</x:v>
      </x:c>
      <x:c r="M49" s="29" t="str">
        <x:v>Not started</x:v>
      </x:c>
      <x:c r="N49" s="29" t="str"/>
      <x:c r="O49" s="29" t="str">
        <x:v>Review careers page</x:v>
      </x:c>
      <x:c r="P49" s="29" t="str"/>
    </x:row>
    <x:row r="50">
      <x:c r="A50" s="29" t="str">
        <x:v>Engineering services / consulting</x:v>
      </x:c>
      <x:c r="B50" s="29" t="str">
        <x:v>Tata Elxsi</x:v>
      </x:c>
      <x:c r="C50" s="29" t="str">
        <x:v>Automotive software, cockpit, infotainment and HMI engineering</x:v>
      </x:c>
      <x:c r="D50" s="29" t="str">
        <x:v>Embedded software; IVI; testing; systems; UX</x:v>
      </x:c>
      <x:c r="E50" s="29" t="str">
        <x:v>US customer sites; global delivery centers</x:v>
      </x:c>
      <x:c r="F50" s="29" t="str">
        <x:v>Low</x:v>
      </x:c>
      <x:c r="G50" s="29" t="str">
        <x:v>Medium</x:v>
      </x:c>
      <x:c r="H50" s="29" t="str">
        <x:v>Software-forward route into cockpit/infotainment programs</x:v>
      </x:c>
      <x:c r="I50" s="29" t="str">
        <x:v>https://www.tataelxsi.com/careers</x:v>
      </x:c>
      <x:c r="J50" s="29" t="str">
        <x:v>https://www.tataelxsi.com/industries/automotive</x:v>
      </x:c>
      <x:c r="K50" s="29" t="str">
        <x:v>Target employer; opening not verified</x:v>
      </x:c>
      <x:c r="L50" s="29" t="str">
        <x:v>2026-08-01</x:v>
      </x:c>
      <x:c r="M50" s="29" t="str">
        <x:v>Not started</x:v>
      </x:c>
      <x:c r="N50" s="29" t="str"/>
      <x:c r="O50" s="29" t="str">
        <x:v>Review careers page</x:v>
      </x:c>
      <x:c r="P50" s="29" t="str"/>
    </x:row>
    <x:row r="51">
      <x:c r="A51" s="29" t="str">
        <x:v>Aftermarket / specialty audio</x:v>
      </x:c>
      <x:c r="B51" s="29" t="str">
        <x:v>JL Audio / Garmin</x:v>
      </x:c>
      <x:c r="C51" s="29" t="str">
        <x:v>Car-audio amplifiers, DSP, speakers and system development</x:v>
      </x:c>
      <x:c r="D51" s="29" t="str">
        <x:v>Audio product; DSP; applications; acoustic/electrical test</x:v>
      </x:c>
      <x:c r="E51" s="29" t="str">
        <x:v>Miramar, FL; Olathe, KS and other Garmin sites</x:v>
      </x:c>
      <x:c r="F51" s="29" t="str">
        <x:v>High</x:v>
      </x:c>
      <x:c r="G51" s="29" t="str">
        <x:v>High</x:v>
      </x:c>
      <x:c r="H51" s="29" t="str">
        <x:v>Strong Southeast-accessible specialty-audio target</x:v>
      </x:c>
      <x:c r="I51" s="29" t="str">
        <x:v>https://careers.garmin.com/</x:v>
      </x:c>
      <x:c r="J51" s="29" t="str">
        <x:v>https://www.jlaudio.com/</x:v>
      </x:c>
      <x:c r="K51" s="29" t="str">
        <x:v>Target employer; search Garmin/JL Audio roles</x:v>
      </x:c>
      <x:c r="L51" s="29" t="str">
        <x:v>2026-08-01</x:v>
      </x:c>
      <x:c r="M51" s="29" t="str">
        <x:v>Not started</x:v>
      </x:c>
      <x:c r="N51" s="29" t="str"/>
      <x:c r="O51" s="29" t="str">
        <x:v>Review careers page</x:v>
      </x:c>
      <x:c r="P51" s="29" t="str"/>
    </x:row>
    <x:row r="52">
      <x:c r="A52" s="29" t="str">
        <x:v>Aftermarket / specialty audio</x:v>
      </x:c>
      <x:c r="B52" s="29" t="str">
        <x:v>Stillwater Designs / KICKER</x:v>
      </x:c>
      <x:c r="C52" s="29" t="str">
        <x:v>Mobile-audio speakers, amplifiers, DSP and demo vehicles</x:v>
      </x:c>
      <x:c r="D52" s="29" t="str">
        <x:v>Product engineering; applications; tuning; test; training</x:v>
      </x:c>
      <x:c r="E52" s="29" t="str">
        <x:v>Stillwater, OK</x:v>
      </x:c>
      <x:c r="F52" s="29" t="str">
        <x:v>Medium</x:v>
      </x:c>
      <x:c r="G52" s="29" t="str">
        <x:v>High</x:v>
      </x:c>
      <x:c r="H52" s="29" t="str">
        <x:v>Direct match for demo-vehicle, tuning and product interests</x:v>
      </x:c>
      <x:c r="I52" s="29" t="str">
        <x:v>https://www.kicker.com/careers</x:v>
      </x:c>
      <x:c r="J52" s="29" t="str">
        <x:v>https://www.kicker.com/</x:v>
      </x:c>
      <x:c r="K52" s="29" t="str">
        <x:v>Target employer; opening not verified</x:v>
      </x:c>
      <x:c r="L52" s="29" t="str">
        <x:v>2026-08-01</x:v>
      </x:c>
      <x:c r="M52" s="29" t="str">
        <x:v>Not started</x:v>
      </x:c>
      <x:c r="N52" s="29" t="str"/>
      <x:c r="O52" s="29" t="str">
        <x:v>Review careers page</x:v>
      </x:c>
      <x:c r="P52" s="29" t="str"/>
    </x:row>
    <x:row r="53">
      <x:c r="A53" s="29" t="str">
        <x:v>Aftermarket / specialty audio</x:v>
      </x:c>
      <x:c r="B53" s="29" t="str">
        <x:v>Rockford Fosgate</x:v>
      </x:c>
      <x:c r="C53" s="29" t="str">
        <x:v>Mobile-audio systems, amplifiers, speakers and OEM/specialty integration</x:v>
      </x:c>
      <x:c r="D53" s="29" t="str">
        <x:v>Product; applications; DSP; acoustic/electrical test</x:v>
      </x:c>
      <x:c r="E53" s="29" t="str">
        <x:v>Tempe, AZ</x:v>
      </x:c>
      <x:c r="F53" s="29" t="str">
        <x:v>Low</x:v>
      </x:c>
      <x:c r="G53" s="29" t="str">
        <x:v>High</x:v>
      </x:c>
      <x:c r="H53" s="29" t="str">
        <x:v>Direct car-audio product and system-development target</x:v>
      </x:c>
      <x:c r="I53" s="29" t="str">
        <x:v>https://rockfordfosgate.com/company/careers/</x:v>
      </x:c>
      <x:c r="J53" s="29" t="str">
        <x:v>https://rockfordfosgate.com/</x:v>
      </x:c>
      <x:c r="K53" s="29" t="str">
        <x:v>Target employer; opening not verified</x:v>
      </x:c>
      <x:c r="L53" s="29" t="str">
        <x:v>2026-08-01</x:v>
      </x:c>
      <x:c r="M53" s="29" t="str">
        <x:v>Not started</x:v>
      </x:c>
      <x:c r="N53" s="29" t="str"/>
      <x:c r="O53" s="29" t="str">
        <x:v>Review careers page</x:v>
      </x:c>
      <x:c r="P53" s="29" t="str"/>
    </x:row>
    <x:row r="54">
      <x:c r="A54" s="29" t="str">
        <x:v>Aftermarket / specialty audio</x:v>
      </x:c>
      <x:c r="B54" s="29" t="str">
        <x:v>Sony Electronics / Automotive</x:v>
      </x:c>
      <x:c r="C54" s="29" t="str">
        <x:v>Automotive entertainment, speakers, amplifiers and media systems</x:v>
      </x:c>
      <x:c r="D54" s="29" t="str">
        <x:v>Product; applications; validation; systems; embedded software</x:v>
      </x:c>
      <x:c r="E54" s="29" t="str">
        <x:v>Multiple US sites; automotive roles vary</x:v>
      </x:c>
      <x:c r="F54" s="29" t="str">
        <x:v>Low</x:v>
      </x:c>
      <x:c r="G54" s="29" t="str">
        <x:v>Medium</x:v>
      </x:c>
      <x:c r="H54" s="29" t="str">
        <x:v>Recognizable audio employer; distinguish consumer, aftermarket and OEM roles</x:v>
      </x:c>
      <x:c r="I54" s="29" t="str">
        <x:v>https://www.sonyjobs.com/</x:v>
      </x:c>
      <x:c r="J54" s="29" t="str">
        <x:v>https://www.sony.com/electronics/car-marine</x:v>
      </x:c>
      <x:c r="K54" s="29" t="str">
        <x:v>Target employer; opening not verified</x:v>
      </x:c>
      <x:c r="L54" s="29" t="str">
        <x:v>2026-08-01</x:v>
      </x:c>
      <x:c r="M54" s="29" t="str">
        <x:v>Not started</x:v>
      </x:c>
      <x:c r="N54" s="29" t="str"/>
      <x:c r="O54" s="29" t="str">
        <x:v>Review careers page</x:v>
      </x:c>
      <x:c r="P54" s="29" t="str"/>
    </x:row>
    <x:row r="55">
      <x:c r="A55" s="29" t="str">
        <x:v>Aftermarket / specialty audio</x:v>
      </x:c>
      <x:c r="B55" s="29" t="str">
        <x:v>Pioneer Electronics</x:v>
      </x:c>
      <x:c r="C55" s="29" t="str">
        <x:v>In-car entertainment, speakers, amplifiers and connected systems</x:v>
      </x:c>
      <x:c r="D55" s="29" t="str">
        <x:v>Product; applications; validation; embedded software</x:v>
      </x:c>
      <x:c r="E55" s="29" t="str">
        <x:v>US roles vary; global engineering</x:v>
      </x:c>
      <x:c r="F55" s="29" t="str">
        <x:v>Low</x:v>
      </x:c>
      <x:c r="G55" s="29" t="str">
        <x:v>Medium</x:v>
      </x:c>
      <x:c r="H55" s="29" t="str">
        <x:v>Aftermarket/infotainment path; verify current US engineering presence</x:v>
      </x:c>
      <x:c r="I55" s="29" t="str">
        <x:v>https://global.pioneer/en/corp/recruit/</x:v>
      </x:c>
      <x:c r="J55" s="29" t="str">
        <x:v>https://global.pioneer/en/</x:v>
      </x:c>
      <x:c r="K55" s="29" t="str">
        <x:v>Target employer; opening not verified</x:v>
      </x:c>
      <x:c r="L55" s="29" t="str">
        <x:v>2026-08-01</x:v>
      </x:c>
      <x:c r="M55" s="29" t="str">
        <x:v>Not started</x:v>
      </x:c>
      <x:c r="N55" s="29" t="str"/>
      <x:c r="O55" s="29" t="str">
        <x:v>Review careers page</x:v>
      </x:c>
      <x:c r="P55" s="29" t="str"/>
    </x:row>
    <x:row r="56">
      <x:c r="A56" s="29" t="str">
        <x:v>Aftermarket / specialty audio</x:v>
      </x:c>
      <x:c r="B56" s="29" t="str">
        <x:v>Garmin</x:v>
      </x:c>
      <x:c r="C56" s="29" t="str">
        <x:v>Automotive OEM solutions, infotainment and acquired JL Audio capabilities</x:v>
      </x:c>
      <x:c r="D56" s="29" t="str">
        <x:v>Embedded software; audio product; validation; systems</x:v>
      </x:c>
      <x:c r="E56" s="29" t="str">
        <x:v>Olathe, KS; Cary, NC; Miramar, FL; other US sites</x:v>
      </x:c>
      <x:c r="F56" s="29" t="str">
        <x:v>High</x:v>
      </x:c>
      <x:c r="G56" s="29" t="str">
        <x:v>High</x:v>
      </x:c>
      <x:c r="H56" s="29" t="str">
        <x:v>Broad automotive technology employer with regional sites and JL Audio link</x:v>
      </x:c>
      <x:c r="I56" s="29" t="str">
        <x:v>https://careers.garmin.com/</x:v>
      </x:c>
      <x:c r="J56" s="29" t="str">
        <x:v>https://www.garmin.com/en-US/automotive/</x:v>
      </x:c>
      <x:c r="K56" s="29" t="str">
        <x:v>Target employer; search current roles</x:v>
      </x:c>
      <x:c r="L56" s="29" t="str">
        <x:v>2026-08-01</x:v>
      </x:c>
      <x:c r="M56" s="29" t="str">
        <x:v>Not started</x:v>
      </x:c>
      <x:c r="N56" s="29" t="str"/>
      <x:c r="O56" s="29" t="str">
        <x:v>Review careers page</x:v>
      </x:c>
      <x:c r="P56" s="29" t="str"/>
    </x:row>
  </x:sheetData>
  <x:conditionalFormatting sqref="G2:G56">
    <x:cfRule type="containsText" dxfId="0" priority="1" operator="containsText" text="Highest"/>
    <x:cfRule type="containsText" dxfId="1" priority="2" operator="containsText" text="High"/>
  </x:conditionalFormatting>
  <x:dataValidations count="3">
    <x:dataValidation type="list" sqref="M2:M56">
      <x:formula1>"Not started,Watching,Applied,Interviewing,Paused,Closed"</x:formula1>
    </x:dataValidation>
    <x:dataValidation type="list" sqref="F2:F56">
      <x:formula1>"High,Medium,Low"</x:formula1>
    </x:dataValidation>
    <x:dataValidation type="list" sqref="G2:G56">
      <x:formula1>"Highest,High,Medium,Low"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bd558225694f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34" t="str">
        <x:v>How to use this employer master list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3">
      <x:c r="A3" s="23"/>
      <x:c r="B3" s="23"/>
      <x:c r="C3" s="23"/>
      <x:c r="D3" s="23"/>
      <x:c r="E3" s="23"/>
      <x:c r="F3" s="23"/>
    </x:row>
    <x:row r="4" ht="15" hidden="0" customHeight="1">
      <x:c r="A4" s="31" t="str">
        <x:v>Field</x:v>
      </x:c>
      <x:c r="B4" s="31" t="str">
        <x:v>Meaning</x:v>
      </x:c>
      <x:c r="C4" s="31" t="str">
        <x:v>How Kevin should use it</x:v>
      </x:c>
      <x:c r="D4" s="31" t="str"/>
      <x:c r="E4" s="31" t="str"/>
      <x:c r="F4" s="31" t="str"/>
    </x:row>
    <x:row r="5" ht="39.599998474121094" hidden="0" customHeight="1">
      <x:c r="A5" s="32" t="str">
        <x:v>Priority</x:v>
      </x:c>
      <x:c r="B5" s="32" t="str">
        <x:v>Fit with automotive audio goals, present evidence and realistic entry routes</x:v>
      </x:c>
      <x:c r="C5" s="32" t="str">
        <x:v>Start with Highest; High is the second research wave.</x:v>
      </x:c>
      <x:c r="D5" s="32" t="str"/>
      <x:c r="E5" s="32" t="str"/>
      <x:c r="F5" s="32" t="str"/>
    </x:row>
    <x:row r="6" ht="26.399999618530273" hidden="0" customHeight="1">
      <x:c r="A6" s="32" t="str">
        <x:v>Verification status</x:v>
      </x:c>
      <x:c r="B6" s="32" t="str">
        <x:v>What was actually checked on 2026-08-01</x:v>
      </x:c>
      <x:c r="C6" s="32" t="str">
        <x:v>“Target employer” does not mean an audio opening exists today.</x:v>
      </x:c>
      <x:c r="D6" s="32" t="str"/>
      <x:c r="E6" s="32" t="str"/>
      <x:c r="F6" s="32" t="str"/>
    </x:row>
    <x:row r="7" ht="26.399999618530273" hidden="0" customHeight="1">
      <x:c r="A7" s="32" t="str">
        <x:v>Application status</x:v>
      </x:c>
      <x:c r="B7" s="32" t="str">
        <x:v>Personal pipeline field</x:v>
      </x:c>
      <x:c r="C7" s="32" t="str">
        <x:v>Update after saving a role, applying, interviewing or pausing.</x:v>
      </x:c>
      <x:c r="D7" s="32" t="str"/>
      <x:c r="E7" s="32" t="str"/>
      <x:c r="F7" s="32" t="str"/>
    </x:row>
    <x:row r="8" ht="26.399999618530273" hidden="0" customHeight="1">
      <x:c r="A8" s="32" t="str">
        <x:v>Last checked</x:v>
      </x:c>
      <x:c r="B8" s="32" t="str">
        <x:v>Personal job-search date</x:v>
      </x:c>
      <x:c r="C8" s="32" t="str">
        <x:v>Enter the date each careers page was last searched.</x:v>
      </x:c>
      <x:c r="D8" s="32" t="str"/>
      <x:c r="E8" s="32" t="str"/>
      <x:c r="F8" s="32" t="str"/>
    </x:row>
    <x:row r="9" ht="39.599998474121094" hidden="0" customHeight="1">
      <x:c r="A9" s="32" t="str">
        <x:v>Next action</x:v>
      </x:c>
      <x:c r="B9" s="32" t="str">
        <x:v>One concrete follow-up</x:v>
      </x:c>
      <x:c r="C9" s="32" t="str">
        <x:v>Use role-family keywords below rather than searching only “audio engineer.”</x:v>
      </x:c>
      <x:c r="D9" s="32" t="str"/>
      <x:c r="E9" s="32" t="str"/>
      <x:c r="F9" s="32" t="str"/>
    </x:row>
    <x:row r="10">
      <x:c r="A10" s="23"/>
      <x:c r="B10" s="23"/>
      <x:c r="C10" s="23"/>
      <x:c r="D10" s="23"/>
      <x:c r="E10" s="23"/>
      <x:c r="F10" s="23"/>
    </x:row>
    <x:row r="11" ht="15" hidden="0" customHeight="1">
      <x:c r="A11" s="30" t="str">
        <x:v>Search vocabulary</x:v>
      </x:c>
      <x:c r="B11" s="30"/>
      <x:c r="C11" s="30"/>
      <x:c r="D11" s="30"/>
      <x:c r="E11" s="30"/>
      <x:c r="F11" s="30"/>
    </x:row>
    <x:row r="12" ht="15" hidden="0" customHeight="1">
      <x:c r="A12" s="32" t="str">
        <x:v>Audio systems engineer</x:v>
      </x:c>
      <x:c r="B12" s="32" t="str">
        <x:v>Acoustic systems engineer</x:v>
      </x:c>
      <x:c r="C12" s="32" t="str">
        <x:v>Vehicle audio engineer</x:v>
      </x:c>
      <x:c r="D12" s="32" t="str">
        <x:v>Audio validation engineer</x:v>
      </x:c>
      <x:c r="E12" s="32" t="str">
        <x:v>Audio test engineer</x:v>
      </x:c>
      <x:c r="F12" s="32" t="str">
        <x:v>Acoustic tuning engineer</x:v>
      </x:c>
    </x:row>
    <x:row r="13" ht="15" hidden="0" customHeight="1">
      <x:c r="A13" s="32" t="str">
        <x:v>DSP engineer</x:v>
      </x:c>
      <x:c r="B13" s="32" t="str">
        <x:v>Embedded audio engineer</x:v>
      </x:c>
      <x:c r="C13" s="32" t="str">
        <x:v>Audio software engineer</x:v>
      </x:c>
      <x:c r="D13" s="32" t="str">
        <x:v>Signal processing engineer</x:v>
      </x:c>
      <x:c r="E13" s="32" t="str">
        <x:v>Algorithm engineer</x:v>
      </x:c>
      <x:c r="F13" s="32" t="str">
        <x:v>Audio applications engineer</x:v>
      </x:c>
    </x:row>
    <x:row r="14" ht="15" hidden="0" customHeight="1">
      <x:c r="A14" s="32" t="str">
        <x:v>Infotainment systems engineer</x:v>
      </x:c>
      <x:c r="B14" s="32" t="str">
        <x:v>Cockpit software engineer</x:v>
      </x:c>
      <x:c r="C14" s="32" t="str">
        <x:v>Multimedia engineer</x:v>
      </x:c>
      <x:c r="D14" s="32" t="str">
        <x:v>Systems integration engineer</x:v>
      </x:c>
      <x:c r="E14" s="32" t="str">
        <x:v>Feature owner – audio</x:v>
      </x:c>
      <x:c r="F14" s="32" t="str">
        <x:v>Customer/resident engineer</x:v>
      </x:c>
    </x:row>
    <x:row r="15" ht="15" hidden="0" customHeight="1">
      <x:c r="A15" s="32" t="str">
        <x:v>NVH engineer</x:v>
      </x:c>
      <x:c r="B15" s="32" t="str">
        <x:v>Sound quality engineer</x:v>
      </x:c>
      <x:c r="C15" s="32" t="str">
        <x:v>Psychoacoustics engineer</x:v>
      </x:c>
      <x:c r="D15" s="32" t="str">
        <x:v>Electroacoustic engineer</x:v>
      </x:c>
      <x:c r="E15" s="32" t="str">
        <x:v>Transducer engineer</x:v>
      </x:c>
      <x:c r="F15" s="32" t="str">
        <x:v>Measurement applications engineer</x:v>
      </x:c>
    </x:row>
    <x:row r="16" ht="15" hidden="0" customHeight="1">
      <x:c r="A16" s="32" t="str">
        <x:v>Demo vehicle engineer</x:v>
      </x:c>
      <x:c r="B16" s="32" t="str">
        <x:v>Product applications engineer</x:v>
      </x:c>
      <x:c r="C16" s="32" t="str">
        <x:v>Technical trainer – mobile audio</x:v>
      </x:c>
      <x:c r="D16" s="32" t="str">
        <x:v>Field applications engineer</x:v>
      </x:c>
      <x:c r="E16" s="32" t="str">
        <x:v>Solutions engineer</x:v>
      </x:c>
      <x:c r="F16" s="32" t="str">
        <x:v>Validation specialist</x:v>
      </x:c>
    </x:row>
    <x:row r="17" ht="15" hidden="0" customHeight="1">
      <x:c r="A17" s="32" t="str"/>
      <x:c r="B17" s="32" t="str"/>
      <x:c r="C17" s="32" t="str"/>
      <x:c r="D17" s="32" t="str"/>
      <x:c r="E17" s="32" t="str"/>
      <x:c r="F17" s="32" t="str"/>
    </x:row>
    <x:row r="18" ht="39.599998474121094" hidden="0" customHeight="1">
      <x:c r="A18" s="32" t="str">
        <x:v>Search method</x:v>
      </x:c>
      <x:c r="B18" s="32" t="str">
        <x:v>Employer + one keyword; then broaden to infotainment, validation, acoustics or embedded software.</x:v>
      </x:c>
      <x:c r="C18" s="32" t="str"/>
      <x:c r="D18" s="32" t="str"/>
      <x:c r="E18" s="32" t="str"/>
      <x:c r="F18" s="32" t="str"/>
    </x:row>
    <x:row r="19" ht="39.599998474121094" hidden="0" customHeight="1">
      <x:c r="A19" s="32" t="str">
        <x:v>Evidence rule</x:v>
      </x:c>
      <x:c r="B19" s="32" t="str">
        <x:v>Record an opening only after reading the current posting; save title, location, URL and date.</x:v>
      </x:c>
      <x:c r="C19" s="32" t="str"/>
      <x:c r="D19" s="32" t="str"/>
      <x:c r="E19" s="32" t="str"/>
      <x:c r="F19" s="32" t="str"/>
    </x:row>
    <x:row r="20" ht="52.79999923706055" hidden="0" customHeight="1">
      <x:c r="A20" s="32" t="str">
        <x:v>Geography rule</x:v>
      </x:c>
      <x:c r="B20" s="32" t="str">
        <x:v>Michigan is the deepest US cluster; Southeast rows highlight Atlanta/Georgia and nearby OEM ecosystems.</x:v>
      </x:c>
      <x:c r="C20" s="32" t="str"/>
      <x:c r="D20" s="32" t="str"/>
      <x:c r="E20" s="32" t="str"/>
      <x:c r="F20" s="32" t="str"/>
    </x:row>
    <x:row r="21" ht="52.79999923706055" hidden="0" customHeight="1">
      <x:c r="A21" s="32" t="str">
        <x:v>Scope</x:v>
      </x:c>
      <x:c r="B21" s="32" t="str">
        <x:v>Version 1 begins with automotive audio. Future tabs can add acoustical consulting, studio/immersive audio and music education.</x:v>
      </x:c>
      <x:c r="C21" s="32" t="str"/>
      <x:c r="D21" s="32" t="str"/>
      <x:c r="E21" s="32" t="str"/>
      <x:c r="F21" s="32" t="str"/>
    </x:row>
  </x:sheetData>
  <x:mergeCells>
    <x:mergeCell ref="A1:F2"/>
    <x:mergeCell ref="A11:F11"/>
  </x:mergeCells>
  <x:pageMargins left="0.7" right="0.7" top="0.75" bottom="0.75" header="0.3" footer="0.3"/>
</x:worksheet>
</file>