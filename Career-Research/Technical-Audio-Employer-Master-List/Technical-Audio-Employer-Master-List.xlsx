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391a8e53b3b40f1" /></Relationships>
</file>

<file path=xl/workbook.xml><?xml version="1.0" encoding="utf-8"?>
<x:workbook xmlns:x="http://schemas.openxmlformats.org/spreadsheetml/2006/main">
  <x:sheets>
    <x:sheet xmlns:r="http://schemas.openxmlformats.org/officeDocument/2006/relationships" name="Dashboard" sheetId="1" r:id="R69be011b123d4aad"/>
    <x:sheet xmlns:r="http://schemas.openxmlformats.org/officeDocument/2006/relationships" name="Employer Master" sheetId="2" r:id="Rd5075c1139034dd4"/>
    <x:sheet xmlns:r="http://schemas.openxmlformats.org/officeDocument/2006/relationships" name="Consulting Dashboard" sheetId="3" r:id="R46d0008fcccb43ba"/>
    <x:sheet xmlns:r="http://schemas.openxmlformats.org/officeDocument/2006/relationships" name="Consulting Employers" sheetId="4" r:id="Rc888d9be52114849"/>
    <x:sheet xmlns:r="http://schemas.openxmlformats.org/officeDocument/2006/relationships" name="Definitions &amp; Search Guide" sheetId="5" r:id="Rb699cfb6ed6a4701"/>
    <x:sheet xmlns:r="http://schemas.openxmlformats.org/officeDocument/2006/relationships" name="Music Ed Dashboard" sheetId="6" r:id="R07b77a7905d541f9"/>
    <x:sheet xmlns:r="http://schemas.openxmlformats.org/officeDocument/2006/relationships" name="GA District Targets" sheetId="7" r:id="R6832eeeacf8d4900"/>
    <x:sheet xmlns:r="http://schemas.openxmlformats.org/officeDocument/2006/relationships" name="Current Music Leads" sheetId="8" r:id="R23ff3c6c4553429f"/>
    <x:sheet xmlns:r="http://schemas.openxmlformats.org/officeDocument/2006/relationships" name="Certification Plan" sheetId="9" r:id="R805ac5f042844804"/>
  </x:sheets>
</x:workbook>
</file>

<file path=xl/comments1.xml><?xml version="1.0" encoding="utf-8"?>
<x:comments xmlns:x="http://schemas.openxmlformats.org/spreadsheetml/2006/main">
  <x:authors>
    <x:author>tc={E6673A0A-EC28-436B-EA8E-E0580C05AAA7}</x:author>
  </x:authors>
  <x:commentList>
    <x:comment ref="A17" authorId="0">
      <x:text>
        <x:r>
          <x:t>[Threaded comment]
Your version of Excel allows you to read this threaded comment; however, any edits to it will get removed if the file is opened in a newer version of Excel. Learn more: https://go.microsoft.com/fwlink/?linkid=870924
Comment:
    Source supplied by Kevin: GMEA Music Program Leaders Canva resource site.</x:t>
        </x:r>
      </x:text>
    </x:comment>
  </x:commentList>
</x:comments>
</file>

<file path=xl/comments2.xml><?xml version="1.0" encoding="utf-8"?>
<x:comments xmlns:x="http://schemas.openxmlformats.org/spreadsheetml/2006/main">
  <x:authors>
    <x:author>tc={A7C26F75-8E4E-2FFA-81E1-40859FDFA8F6}</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Vacancies are time-sensitive. Recheck the official district portal immediately before applying.</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20"/>
      <x:color rgb="FFFFFFFF"/>
      <x:name val="Carlito"/>
    </x:font>
    <x:font>
      <x:i/>
      <x:sz val="11"/>
      <x:color rgb="FF17365D"/>
      <x:name val="Carlito"/>
    </x:font>
    <x:font>
      <x:b/>
      <x:sz val="11"/>
      <x:color rgb="FFFFFFFF"/>
      <x:name val="Carlito"/>
    </x:font>
    <x:font>
      <x:i/>
      <x:sz val="11"/>
      <x:color rgb="FF375623"/>
      <x:name val="Carlito"/>
    </x:font>
    <x:font>
      <x:b/>
      <x:sz val="18"/>
      <x:color rgb="FFFFFFFF"/>
      <x:name val="Carlito"/>
    </x:font>
    <x:font>
      <x:b/>
      <x:sz val="10"/>
      <x:color rgb="FFFFFFFF"/>
      <x:name val="Aptos"/>
    </x:font>
    <x:font>
      <x:sz val="10"/>
      <x:name val="Aptos"/>
    </x:font>
    <x:font>
      <x:i/>
      <x:sz val="10"/>
      <x:color rgb="FF17365D"/>
      <x:name val="Aptos"/>
    </x:font>
    <x:font>
      <x:i/>
      <x:sz val="10"/>
      <x:color rgb="FF375623"/>
      <x:name val="Aptos"/>
    </x:font>
    <x:font>
      <x:b/>
      <x:sz val="20"/>
      <x:color rgb="FFFFFFFF"/>
      <x:name val="Aptos Display"/>
    </x:font>
    <x:font>
      <x:b/>
      <x:sz val="18"/>
      <x:color rgb="FFFFFFFF"/>
      <x:name val="Aptos Display"/>
    </x:font>
    <x:font>
      <x:i/>
      <x:sz val="10"/>
      <x:color rgb="FF1D3F66"/>
      <x:name val="Carlito"/>
    </x:font>
    <x:font>
      <x:b/>
      <x:sz val="11"/>
      <x:color rgb="FF1D3F66"/>
      <x:name val="Carlito"/>
    </x:font>
    <x:font>
      <x:sz val="11"/>
      <x:color rgb="FF0563C1"/>
      <x:name val="Carlito"/>
    </x:font>
    <x:font>
      <x:i/>
      <x:sz val="11"/>
      <x:color rgb="FF7F6000"/>
      <x:name val="Carlito"/>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375623"/>
      </x:patternFill>
    </x:fill>
    <x:fill>
      <x:patternFill patternType="solid">
        <x:fgColor rgb="FFE2F0D9"/>
      </x:patternFill>
    </x:fill>
    <x:fill>
      <x:patternFill patternType="solid">
        <x:fgColor rgb="FF70AD47"/>
      </x:patternFill>
    </x:fill>
    <x:fill>
      <x:patternFill patternType="solid">
        <x:fgColor rgb="FF1D3F66"/>
      </x:patternFill>
    </x:fill>
    <x:fill>
      <x:patternFill patternType="solid">
        <x:fgColor rgb="FFD9EAF7"/>
      </x:patternFill>
    </x:fill>
    <x:fill>
      <x:patternFill patternType="solid">
        <x:fgColor rgb="FF4472C4"/>
      </x:patternFill>
    </x:fill>
    <x:fill>
      <x:patternFill patternType="solid">
        <x:fgColor rgb="FFFFF2CC"/>
      </x:patternFill>
    </x:fill>
  </x:fills>
  <x:borders count="6">
    <x:border/>
    <x:border>
      <x:left style="thin">
        <x:color rgb="FFD9E2F3"/>
      </x:left>
      <x:right style="thin">
        <x:color rgb="FFD9E2F3"/>
      </x:right>
      <x:top style="thin">
        <x:color rgb="FFD9E2F3"/>
      </x:top>
      <x:bottom style="thin">
        <x:color rgb="FFD9E2F3"/>
      </x:bottom>
    </x:border>
    <x:border>
      <x:left style="thin">
        <x:color rgb="FFD9EAD3"/>
      </x:left>
      <x:right style="thin">
        <x:color rgb="FFD9EAD3"/>
      </x:right>
      <x:top style="thin">
        <x:color rgb="FFD9EAD3"/>
      </x:top>
      <x:bottom style="thin">
        <x:color rgb="FFD9EAD3"/>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10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2"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3" fillId="4"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5" borderId="0" xfId="0" applyNumberFormat="1" applyFont="1" applyFill="1" applyBorder="1"/>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center" wrapText="1"/>
    </x:xf>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0" borderId="2" xfId="0" applyNumberFormat="1" applyFont="1" applyFill="1" applyBorder="1" applyAlignment="1">
      <x:alignment vertical="top" wrapText="1"/>
    </x:xf>
    <x:xf numFmtId="0" fontId="5" fillId="2"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6" fillId="2" borderId="0" xfId="0" applyNumberFormat="1" applyFont="1" applyFill="1" applyBorder="1" applyAlignment="1">
      <x:alignment vertical="center"/>
    </x:xf>
    <x:xf numFmtId="0" fontId="7" fillId="0" borderId="0" xfId="0" applyNumberFormat="1" applyFont="1" applyFill="1" applyBorder="1"/>
    <x:xf numFmtId="0" fontId="8" fillId="3" borderId="0" xfId="0" applyNumberFormat="1" applyFont="1" applyFill="1" applyBorder="1" applyAlignment="1">
      <x:alignment wrapText="1"/>
    </x:xf>
    <x:xf numFmtId="0" fontId="6" fillId="4"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7" fillId="0" borderId="1"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7" fillId="0" borderId="1" xfId="0" applyNumberFormat="1" applyFont="1" applyFill="1" applyBorder="1" applyAlignment="1">
      <x:alignment vertical="top" wrapText="1"/>
    </x:xf>
    <x:xf numFmtId="0" fontId="6" fillId="5" borderId="0" xfId="0" applyNumberFormat="1" applyFont="1" applyFill="1" applyBorder="1" applyAlignment="1">
      <x:alignment vertical="center"/>
    </x:xf>
    <x:xf numFmtId="0" fontId="9" fillId="6" borderId="0" xfId="0" applyNumberFormat="1" applyFont="1" applyFill="1" applyBorder="1" applyAlignment="1">
      <x:alignment wrapText="1"/>
    </x:xf>
    <x:xf numFmtId="0" fontId="6" fillId="7" borderId="0" xfId="0" applyNumberFormat="1" applyFont="1" applyFill="1" applyBorder="1"/>
    <x:xf numFmtId="0" fontId="6" fillId="5" borderId="0" xfId="0" applyNumberFormat="1" applyFont="1" applyFill="1" applyBorder="1"/>
    <x:xf numFmtId="0" fontId="7" fillId="0" borderId="2"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7" fillId="0" borderId="2" xfId="0" applyNumberFormat="1" applyFont="1" applyFill="1" applyBorder="1" applyAlignment="1">
      <x:alignment vertical="top" wrapText="1"/>
    </x:xf>
    <x:xf numFmtId="0" fontId="6" fillId="2" borderId="0" xfId="0" applyNumberFormat="1" applyFont="1" applyFill="1" applyBorder="1"/>
    <x:xf numFmtId="0" fontId="6" fillId="4" borderId="1" xfId="0" applyNumberFormat="1" applyFont="1" applyFill="1" applyBorder="1" applyAlignment="1">
      <x:alignment wrapText="1"/>
    </x:xf>
    <x:xf numFmtId="0" fontId="7" fillId="0" borderId="1" xfId="0" applyNumberFormat="1" applyFont="1" applyFill="1" applyBorder="1" applyAlignment="1">
      <x:alignment wrapText="1"/>
    </x:xf>
    <x:xf numFmtId="0" fontId="10" fillId="2" borderId="0" xfId="0" applyNumberFormat="1" applyFont="1" applyFill="1" applyBorder="1" applyAlignment="1">
      <x:alignment vertical="center"/>
    </x:xf>
    <x:xf numFmtId="0" fontId="10" fillId="5" borderId="0" xfId="0" applyNumberFormat="1" applyFont="1" applyFill="1" applyBorder="1" applyAlignment="1">
      <x:alignment vertical="center"/>
    </x:xf>
    <x:xf numFmtId="0" fontId="11" fillId="2"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left"/>
    </x:xf>
    <x:xf numFmtId="0" fontId="1" fillId="8" borderId="0" xfId="0" applyNumberFormat="1" applyFont="1" applyFill="1" applyBorder="1" applyAlignment="1">
      <x:alignment horizontal="left" vertical="center"/>
    </x:xf>
    <x:xf numFmtId="0" fontId="0" fillId="9" borderId="0" xfId="0" applyNumberFormat="1" applyFont="1" applyFill="1" applyBorder="1"/>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8" borderId="0" xfId="0" applyNumberFormat="1" applyFont="1" applyFill="1" applyBorder="1"/>
    <x:xf numFmtId="0" fontId="13" fillId="0" borderId="0" xfId="0" applyNumberFormat="1" applyFont="1" applyFill="1" applyBorder="1"/>
    <x:xf numFmtId="0" fontId="14" fillId="0" borderId="0" xfId="0" applyNumberFormat="1" applyFont="1" applyFill="1" applyBorder="1"/>
    <x:xf numFmtId="0" fontId="3" fillId="10" borderId="3" xfId="0" applyNumberFormat="1" applyFont="1" applyFill="1" applyBorder="1"/>
    <x:xf numFmtId="0" fontId="0" fillId="0" borderId="3" xfId="0" applyNumberFormat="1" applyFont="1" applyFill="1" applyBorder="1"/>
    <x:xf numFmtId="0" fontId="3" fillId="8" borderId="3" xfId="0" applyNumberFormat="1" applyFont="1" applyFill="1" applyBorder="1"/>
    <x:xf numFmtId="0" fontId="0" fillId="0" borderId="4" xfId="0" applyNumberFormat="1" applyFont="1" applyFill="1" applyBorder="1"/>
    <x:xf numFmtId="0" fontId="3" fillId="8" borderId="4" xfId="0" applyNumberFormat="1" applyFont="1" applyFill="1" applyBorder="1"/>
    <x:xf numFmtId="0" fontId="13" fillId="0" borderId="4" xfId="0" applyNumberFormat="1" applyFont="1" applyFill="1" applyBorder="1"/>
    <x:xf numFmtId="0" fontId="14" fillId="0" borderId="4" xfId="0" applyNumberFormat="1" applyFont="1" applyFill="1" applyBorder="1"/>
    <x:xf numFmtId="0" fontId="13" fillId="0" borderId="5" xfId="0" applyNumberFormat="1" applyFont="1" applyFill="1" applyBorder="1"/>
    <x:xf numFmtId="0" fontId="14" fillId="0" borderId="5" xfId="0" applyNumberFormat="1" applyFont="1" applyFill="1" applyBorder="1"/>
    <x:xf numFmtId="0" fontId="0" fillId="0" borderId="5" xfId="0" applyNumberFormat="1" applyFont="1" applyFill="1" applyBorder="1"/>
    <x:xf numFmtId="0" fontId="1" fillId="8"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3" fillId="10" borderId="3" xfId="0" applyNumberFormat="1" applyFont="1" applyFill="1" applyBorder="1" applyAlignment="1">
      <x:alignment wrapText="1"/>
    </x:xf>
    <x:xf numFmtId="0" fontId="0" fillId="0" borderId="3" xfId="0" applyNumberFormat="1" applyFont="1" applyFill="1" applyBorder="1" applyAlignment="1">
      <x:alignment wrapText="1"/>
    </x:xf>
    <x:xf numFmtId="0" fontId="3" fillId="8" borderId="3" xfId="0" applyNumberFormat="1" applyFont="1" applyFill="1" applyBorder="1" applyAlignment="1">
      <x:alignment wrapText="1"/>
    </x:xf>
    <x:xf numFmtId="0" fontId="0" fillId="0" borderId="4" xfId="0" applyNumberFormat="1" applyFont="1" applyFill="1" applyBorder="1" applyAlignment="1">
      <x:alignment wrapText="1"/>
    </x:xf>
    <x:xf numFmtId="0" fontId="3" fillId="8" borderId="4" xfId="0" applyNumberFormat="1" applyFont="1" applyFill="1" applyBorder="1" applyAlignment="1">
      <x:alignment wrapText="1"/>
    </x:xf>
    <x:xf numFmtId="0" fontId="13" fillId="0" borderId="4" xfId="0" applyNumberFormat="1" applyFont="1" applyFill="1" applyBorder="1" applyAlignment="1">
      <x:alignment wrapText="1"/>
    </x:xf>
    <x:xf numFmtId="0" fontId="14" fillId="0" borderId="4" xfId="0" applyNumberFormat="1" applyFont="1" applyFill="1" applyBorder="1" applyAlignment="1">
      <x:alignment wrapText="1"/>
    </x:xf>
    <x:xf numFmtId="0" fontId="13" fillId="0" borderId="5" xfId="0" applyNumberFormat="1" applyFont="1" applyFill="1" applyBorder="1" applyAlignment="1">
      <x:alignment wrapText="1"/>
    </x:xf>
    <x:xf numFmtId="0" fontId="14" fillId="0" borderId="5" xfId="0" applyNumberFormat="1" applyFont="1" applyFill="1" applyBorder="1" applyAlignment="1">
      <x:alignment wrapText="1"/>
    </x:xf>
    <x:xf numFmtId="0" fontId="0" fillId="0" borderId="5" xfId="0" applyNumberFormat="1" applyFont="1" applyFill="1" applyBorder="1" applyAlignment="1">
      <x:alignment wrapText="1"/>
    </x:xf>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vertical="center" wrapText="1"/>
    </x:xf>
  </x:cellXfs>
  <x:cellStyles count="1">
    <x:cellStyle name="Normal" xfId="0"/>
  </x:cellStyles>
  <x:dxfs count="9">
    <x:dxf>
      <x:font>
        <x:b/>
        <x:color rgb="FF1B5E20"/>
      </x:font>
      <x:fill>
        <x:patternFill>
          <x:bgColor rgb="FFC6E0B4"/>
        </x:patternFill>
      </x:fill>
    </x:dxf>
    <x:dxf>
      <x:fill>
        <x:patternFill>
          <x:bgColor rgb="FFE2F0D9"/>
        </x:patternFill>
      </x:fill>
    </x:dxf>
    <x:dxf>
      <x:font>
        <x:b/>
        <x:color rgb="FF1B5E20"/>
      </x:font>
      <x:fill>
        <x:patternFill>
          <x:bgColor rgb="FFC6E0B4"/>
        </x:patternFill>
      </x:fill>
    </x:dxf>
    <x:dxf>
      <x:fill>
        <x:patternFill>
          <x:bgColor rgb="FFE2F0D9"/>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53f7ca797741dd" /><Relationship Type="http://schemas.openxmlformats.org/officeDocument/2006/relationships/theme" Target="/xl/theme/theme1.xml" Id="Rfc5296f7c4cf4ac7" /><Relationship Type="http://schemas.openxmlformats.org/officeDocument/2006/relationships/sharedStrings" Target="/xl/sharedStrings.xml" Id="R08022b58a1374682" /><Relationship Type="http://schemas.openxmlformats.org/officeDocument/2006/relationships/worksheet" Target="/xl/worksheets/sheet1.xml" Id="R69be011b123d4aad" /><Relationship Type="http://schemas.openxmlformats.org/officeDocument/2006/relationships/worksheet" Target="/xl/worksheets/sheet2.xml" Id="Rd5075c1139034dd4" /><Relationship Type="http://schemas.openxmlformats.org/officeDocument/2006/relationships/worksheet" Target="/xl/worksheets/sheet3.xml" Id="R46d0008fcccb43ba" /><Relationship Type="http://schemas.openxmlformats.org/officeDocument/2006/relationships/worksheet" Target="/xl/worksheets/sheet4.xml" Id="Rc888d9be52114849" /><Relationship Type="http://schemas.openxmlformats.org/officeDocument/2006/relationships/worksheet" Target="/xl/worksheets/sheet5.xml" Id="Rb699cfb6ed6a4701" /><Relationship Type="http://schemas.openxmlformats.org/officeDocument/2006/relationships/worksheet" Target="/xl/worksheets/sheet6.xml" Id="R07b77a7905d541f9" /><Relationship Type="http://schemas.openxmlformats.org/officeDocument/2006/relationships/worksheet" Target="/xl/worksheets/sheet7.xml" Id="R6832eeeacf8d4900" /><Relationship Type="http://schemas.openxmlformats.org/officeDocument/2006/relationships/worksheet" Target="/xl/worksheets/sheet8.xml" Id="R23ff3c6c4553429f" /><Relationship Type="http://schemas.openxmlformats.org/officeDocument/2006/relationships/worksheet" Target="/xl/worksheets/sheet9.xml" Id="R805ac5f042844804" /><Relationship Type="http://schemas.microsoft.com/office/2017/10/relationships/person" Target="/xl/persons/person.xml" Id="R09a1dc0fc34746aa" /></Relationships>
</file>

<file path=xl/persons/person.xml><?xml version="1.0" encoding="utf-8"?>
<xltc:personList xmlns:xltc="http://schemas.microsoft.com/office/spreadsheetml/2018/threadedcomments">
  <xltc:person displayName="Kevin Worley" id="{F15ADE75-C747-4DBA-A80C-39FA32BAD3C2}"/>
</xltc:personList>
</file>

<file path=xl/tables/table1.xml><?xml version="1.0" encoding="utf-8"?>
<x:table xmlns:x="http://schemas.openxmlformats.org/spreadsheetml/2006/main" id="1" name="AutomotiveEmployers" displayName="AutomotiveEmployers" ref="A1:P56" headerRowCount="1" totalsRowCount="0" totalsRowShown="0">
  <x:tableColumns count="16">
    <x:tableColumn id="1" name="Category"/>
    <x:tableColumn id="2" name="Employer"/>
    <x:tableColumn id="3" name="Automotive-audio relevance"/>
    <x:tableColumn id="4" name="Likely role families"/>
    <x:tableColumn id="5" name="Primary US / North American hubs"/>
    <x:tableColumn id="6" name="Southeast relevance"/>
    <x:tableColumn id="7" name="Priority"/>
    <x:tableColumn id="8" name="Why it fits Kevin"/>
    <x:tableColumn id="9" name="Careers"/>
    <x:tableColumn id="10" name="Official evidence"/>
    <x:tableColumn id="11" name="Verification status"/>
    <x:tableColumn id="12" name="Last verified"/>
    <x:tableColumn id="13" name="Application status"/>
    <x:tableColumn id="14" name="Contact / referral"/>
    <x:tableColumn id="15" name="Next action"/>
    <x:tableColumn id="16" name="Last checked"/>
  </x:tableColumns>
  <x:tableStyleInfo name="TableStyleMedium2" showFirstColumn="0" showLastColumn="0" showRowStripes="1" showColumnStripes="0"/>
</x:table>
</file>

<file path=xl/tables/table2.xml><?xml version="1.0" encoding="utf-8"?>
<x:table xmlns:x="http://schemas.openxmlformats.org/spreadsheetml/2006/main" id="2" name="ConsultingEmployers" displayName="ConsultingEmployers" ref="A1:P37" headerRowCount="1" totalsRowCount="0" totalsRowShown="0">
  <x:tableColumns count="16">
    <x:tableColumn id="1" name="Consulting lane"/>
    <x:tableColumn id="2" name="Employer"/>
    <x:tableColumn id="3" name="Acoustical-consulting relevance"/>
    <x:tableColumn id="4" name="Likely role families"/>
    <x:tableColumn id="5" name="Primary US offices / hubs"/>
    <x:tableColumn id="6" name="Southeast relevance"/>
    <x:tableColumn id="7" name="Priority"/>
    <x:tableColumn id="8" name="Why it fits Kevin"/>
    <x:tableColumn id="9" name="Careers"/>
    <x:tableColumn id="10" name="Official evidence"/>
    <x:tableColumn id="11" name="Verification status"/>
    <x:tableColumn id="12" name="Last verified"/>
    <x:tableColumn id="13" name="Application status"/>
    <x:tableColumn id="14" name="Contact / referral"/>
    <x:tableColumn id="15" name="Next action"/>
    <x:tableColumn id="16" name="Last checked"/>
  </x:tableColumns>
  <x:tableStyleInfo name="TableStyleMedium2" showFirstColumn="0" showLastColumn="0" showRowStripes="1" showColumnStripes="0"/>
</x:table>
</file>

<file path=xl/tables/table3.xml><?xml version="1.0" encoding="utf-8"?>
<x:table xmlns:x="http://schemas.openxmlformats.org/spreadsheetml/2006/main" id="3" name="MusicEdMetrics" displayName="MusicEdMetrics" ref="A6:B11" headerRowCount="1" totalsRowCount="0" totalsRowShown="0">
  <x:tableColumns count="2">
    <x:tableColumn id="1" name="Metric"/>
    <x:tableColumn id="2" name="Count"/>
  </x:tableColumns>
  <x:tableStyleInfo name="TableStyleMedium2" showFirstColumn="0" showLastColumn="0" showRowStripes="1" showColumnStripes="0"/>
</x:table>
</file>

<file path=xl/tables/table4.xml><?xml version="1.0" encoding="utf-8"?>
<x:table xmlns:x="http://schemas.openxmlformats.org/spreadsheetml/2006/main" id="4" name="GADistrictTargets" displayName="GADistrictTargets" ref="A1:O24" headerRowCount="1" totalsRowCount="0" totalsRowShown="0">
  <x:tableColumns count="15">
    <x:tableColumn id="1" name="Region"/>
    <x:tableColumn id="2" name="School system"/>
    <x:tableColumn id="3" name="Hub / area"/>
    <x:tableColumn id="4" name="Atlanta proximity"/>
    <x:tableColumn id="5" name="Kevin priority"/>
    <x:tableColumn id="6" name="Why it fits"/>
    <x:tableColumn id="7" name="Search terms / route"/>
    <x:tableColumn id="8" name="Opening signal"/>
    <x:tableColumn id="9" name="Careers / vacancies URL"/>
    <x:tableColumn id="10" name="TeachGeorgia music"/>
    <x:tableColumn id="11" name="GMEA jobs"/>
    <x:tableColumn id="12" name="Last checked"/>
    <x:tableColumn id="13" name="Notes"/>
    <x:tableColumn id="14" name="Application status"/>
    <x:tableColumn id="15" name="Next review"/>
  </x:tableColumns>
  <x:tableStyleInfo name="TableStyleMedium2" showFirstColumn="0" showLastColumn="0" showRowStripes="1" showColumnStripes="0"/>
</x:table>
</file>

<file path=xl/tables/table5.xml><?xml version="1.0" encoding="utf-8"?>
<x:table xmlns:x="http://schemas.openxmlformats.org/spreadsheetml/2006/main" id="5" name="CurrentMusicLeads" displayName="CurrentMusicLeads" ref="A1:M11" headerRowCount="1" totalsRowCount="0" totalsRowShown="0">
  <x:tableColumns count="13">
    <x:tableColumn id="1" name="Priority"/>
    <x:tableColumn id="2" name="System"/>
    <x:tableColumn id="3" name="School / site"/>
    <x:tableColumn id="4" name="Position"/>
    <x:tableColumn id="5" name="Music area"/>
    <x:tableColumn id="6" name="Location"/>
    <x:tableColumn id="7" name="School year"/>
    <x:tableColumn id="8" name="Status"/>
    <x:tableColumn id="9" name="Closing date"/>
    <x:tableColumn id="10" name="Source type"/>
    <x:tableColumn id="11" name="Posting / search URL"/>
    <x:tableColumn id="12" name="Last checked"/>
    <x:tableColumn id="13" name="Verification / fit note"/>
  </x:tableColumns>
  <x:tableStyleInfo name="TableStyleMedium2" showFirstColumn="0" showLastColumn="0" showRowStripes="1" showColumnStripes="0"/>
</x:table>
</file>

<file path=xl/tables/table6.xml><?xml version="1.0" encoding="utf-8"?>
<x:table xmlns:x="http://schemas.openxmlformats.org/spreadsheetml/2006/main" id="6" name="CertificationOptions" displayName="CertificationOptions" ref="A6:I14" headerRowCount="1" totalsRowCount="0" totalsRowShown="0">
  <x:tableColumns count="9">
    <x:tableColumn id="1" name="Stage"/>
    <x:tableColumn id="2" name="Field / action"/>
    <x:tableColumn id="3" name="Possible route"/>
    <x:tableColumn id="4" name="Timing"/>
    <x:tableColumn id="5" name="Career value"/>
    <x:tableColumn id="6" name="Important limitation"/>
    <x:tableColumn id="7" name="Authority"/>
    <x:tableColumn id="8" name="Official URL"/>
    <x:tableColumn id="9" name="Prior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7" dT="2026-08-01T21:34:43.895" personId="{F15ADE75-C747-4DBA-A80C-39FA32BAD3C2}" id="{E6673A0A-EC28-436B-EA8E-E0580C05AAA7}">
    <xltc:text>Source supplied by Kevin: GMEA Music Program Leaders Canva resource site.</xltc:text>
  </xltc:threadedComment>
</xltc:ThreadedComments>
</file>

<file path=xl/threadedcomments/threadedcomment2.xml><?xml version="1.0" encoding="utf-8"?>
<xltc:ThreadedComments xmlns:xltc="http://schemas.microsoft.com/office/spreadsheetml/2018/threadedcomments">
  <xltc:threadedComment ref="A1" dT="2026-08-01T21:34:43.895" personId="{F15ADE75-C747-4DBA-A80C-39FA32BAD3C2}" id="{A7C26F75-8E4E-2FFA-81E1-40859FDFA8F6}">
    <xltc:text>Vacancies are time-sensitive. Recheck the official district portal immediately before applying.</xltc:text>
  </xltc:threadedComment>
</xltc:ThreadedComments>
</file>

<file path=xl/worksheets/_rels/sheet2.xml.rels>&#65279;<?xml version="1.0" encoding="utf-8"?><Relationships xmlns="http://schemas.openxmlformats.org/package/2006/relationships"><Relationship Type="http://schemas.openxmlformats.org/officeDocument/2006/relationships/table" Target="/xl/tables/table1.xml" Id="Rb441eb5fddd4468f" /></Relationships>
</file>

<file path=xl/worksheets/_rels/sheet4.xml.rels>&#65279;<?xml version="1.0" encoding="utf-8"?><Relationships xmlns="http://schemas.openxmlformats.org/package/2006/relationships"><Relationship Type="http://schemas.openxmlformats.org/officeDocument/2006/relationships/table" Target="/xl/tables/table2.xml" Id="Rbda774a3cb6444dd" /></Relationships>
</file>

<file path=xl/worksheets/_rels/sheet6.xml.rels>&#65279;<?xml version="1.0" encoding="utf-8"?><Relationships xmlns="http://schemas.openxmlformats.org/package/2006/relationships"><Relationship Type="http://schemas.openxmlformats.org/officeDocument/2006/relationships/comments" Target="/xl/comments1.xml" Id="R71cd2ce0719f4d46" /><Relationship Type="http://schemas.openxmlformats.org/officeDocument/2006/relationships/vmlDrawing" Target="/xl/drawings/vmldrawing.vml" Id="R18d4c710b897473e" /><Relationship Type="http://schemas.microsoft.com/office/2017/10/relationships/threadedComment" Target="/xl/threadedcomments/threadedcomment.xml" Id="Rc4d3d3c6c3664cec" /><Relationship Type="http://schemas.openxmlformats.org/officeDocument/2006/relationships/table" Target="/xl/tables/table3.xml" Id="Rb44d707ec2694e51" /></Relationships>
</file>

<file path=xl/worksheets/_rels/sheet7.xml.rels>&#65279;<?xml version="1.0" encoding="utf-8"?><Relationships xmlns="http://schemas.openxmlformats.org/package/2006/relationships"><Relationship Type="http://schemas.openxmlformats.org/officeDocument/2006/relationships/table" Target="/xl/tables/table4.xml" Id="R9a3b19716aae4514" /></Relationships>
</file>

<file path=xl/worksheets/_rels/sheet8.xml.rels>&#65279;<?xml version="1.0" encoding="utf-8"?><Relationships xmlns="http://schemas.openxmlformats.org/package/2006/relationships"><Relationship Type="http://schemas.openxmlformats.org/officeDocument/2006/relationships/comments" Target="/xl/comments2.xml" Id="R27b71f50725145eb" /><Relationship Type="http://schemas.openxmlformats.org/officeDocument/2006/relationships/vmlDrawing" Target="/xl/drawings/vmldrawing2.vml" Id="Re99b5a3e75b34002" /><Relationship Type="http://schemas.microsoft.com/office/2017/10/relationships/threadedComment" Target="/xl/threadedcomments/threadedcomment2.xml" Id="R99dcd16271964141" /><Relationship Type="http://schemas.openxmlformats.org/officeDocument/2006/relationships/table" Target="/xl/tables/table5.xml" Id="R62f35450bc3243d3" /></Relationships>
</file>

<file path=xl/worksheets/_rels/sheet9.xml.rels>&#65279;<?xml version="1.0" encoding="utf-8"?><Relationships xmlns="http://schemas.openxmlformats.org/package/2006/relationships"><Relationship Type="http://schemas.openxmlformats.org/officeDocument/2006/relationships/table" Target="/xl/tables/table6.xml" Id="R201bc89f891041a0"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48" hidden="0" customWidth="1"/>
    <x:col min="4" max="4" width="34" hidden="0" customWidth="1"/>
    <x:col min="5" max="5" width="12" hidden="0" customWidth="1"/>
  </x:cols>
  <x:sheetData>
    <x:row r="1">
      <x:c r="A1" s="55" t="str">
        <x:v>Automotive Audio Employer Master List</x:v>
      </x:c>
      <x:c r="B1" s="37"/>
      <x:c r="C1" s="37"/>
      <x:c r="D1" s="37"/>
      <x:c r="E1" s="37"/>
      <x:c r="F1" s="37"/>
      <x:c r="G1" s="37"/>
      <x:c r="H1" s="37"/>
    </x:row>
    <x:row r="2">
      <x:c r="A2" s="37"/>
      <x:c r="B2" s="37"/>
      <x:c r="C2" s="37"/>
      <x:c r="D2" s="37"/>
      <x:c r="E2" s="37"/>
      <x:c r="F2" s="37"/>
      <x:c r="G2" s="37"/>
      <x:c r="H2" s="37"/>
    </x:row>
    <x:row r="3">
      <x:c r="A3" s="38"/>
      <x:c r="B3" s="38"/>
      <x:c r="C3" s="38"/>
      <x:c r="D3" s="38"/>
      <x:c r="E3" s="38"/>
      <x:c r="F3" s="38"/>
      <x:c r="G3" s="38"/>
      <x:c r="H3" s="38"/>
    </x:row>
    <x:row r="4" ht="26.399999618530273" hidden="0" customHeight="1">
      <x:c r="A4" s="39" t="str">
        <x:v>A structured target list—not a claim that every employer has a suitable opening today. Recheck each careers page before applying.</x:v>
      </x:c>
      <x:c r="B4" s="39"/>
      <x:c r="C4" s="39"/>
      <x:c r="D4" s="39"/>
      <x:c r="E4" s="39"/>
      <x:c r="F4" s="39"/>
      <x:c r="G4" s="39"/>
      <x:c r="H4" s="39"/>
    </x:row>
    <x:row r="5">
      <x:c r="A5" s="38"/>
      <x:c r="B5" s="38"/>
      <x:c r="C5" s="38"/>
      <x:c r="D5" s="38"/>
      <x:c r="E5" s="38"/>
      <x:c r="F5" s="38"/>
      <x:c r="G5" s="38"/>
      <x:c r="H5" s="38"/>
    </x:row>
    <x:row r="6" ht="15" hidden="0" customHeight="1">
      <x:c r="A6" s="40" t="str">
        <x:v>Metric</x:v>
      </x:c>
      <x:c r="B6" s="40" t="str">
        <x:v>Count</x:v>
      </x:c>
      <x:c r="C6" s="41"/>
      <x:c r="D6" s="40" t="str">
        <x:v>Employer lane</x:v>
      </x:c>
      <x:c r="E6" s="40" t="str">
        <x:v>Count</x:v>
      </x:c>
      <x:c r="F6" s="41"/>
      <x:c r="G6" s="41"/>
      <x:c r="H6" s="41"/>
    </x:row>
    <x:row r="7" ht="15" hidden="0" customHeight="1">
      <x:c r="A7" s="41" t="str">
        <x:v>Total employers</x:v>
      </x:c>
      <x:c r="B7" s="41" t="n">
        <x:f>COUNTA('Employer Master'!B2:B56)</x:f>
        <x:v>55</x:v>
      </x:c>
      <x:c r="C7" s="41"/>
      <x:c r="D7" s="41" t="str">
        <x:v>Tier 1 / integrated systems</x:v>
      </x:c>
      <x:c r="E7" s="41" t="n">
        <x:f>COUNTIF('Employer Master'!A2:A56,D7)</x:f>
        <x:v>10</x:v>
      </x:c>
      <x:c r="F7" s="41"/>
      <x:c r="G7" s="41"/>
      <x:c r="H7" s="41"/>
    </x:row>
    <x:row r="8" ht="15" hidden="0" customHeight="1">
      <x:c r="A8" s="41" t="str">
        <x:v>Highest priority</x:v>
      </x:c>
      <x:c r="B8" s="41" t="n">
        <x:f>COUNTIF('Employer Master'!G2:G56,"Highest")</x:f>
        <x:v>10</x:v>
      </x:c>
      <x:c r="C8" s="41"/>
      <x:c r="D8" s="41" t="str">
        <x:v>OEM / vehicle manufacturer</x:v>
      </x:c>
      <x:c r="E8" s="41" t="n">
        <x:f>COUNTIF('Employer Master'!A2:A56,D8)</x:f>
        <x:v>14</x:v>
      </x:c>
      <x:c r="F8" s="41"/>
      <x:c r="G8" s="41"/>
      <x:c r="H8" s="41"/>
    </x:row>
    <x:row r="9" ht="15" hidden="0" customHeight="1">
      <x:c r="A9" s="41" t="str">
        <x:v>High priority</x:v>
      </x:c>
      <x:c r="B9" s="41" t="n">
        <x:f>COUNTIF('Employer Master'!G2:G56,"High")</x:f>
        <x:v>31</x:v>
      </x:c>
      <x:c r="C9" s="41"/>
      <x:c r="D9" s="41" t="str">
        <x:v>DSP / audio software / silicon</x:v>
      </x:c>
      <x:c r="E9" s="41" t="n">
        <x:f>COUNTIF('Employer Master'!A2:A56,D9)</x:f>
        <x:v>8</x:v>
      </x:c>
      <x:c r="F9" s="41"/>
      <x:c r="G9" s="41"/>
      <x:c r="H9" s="41"/>
    </x:row>
    <x:row r="10" ht="15" hidden="0" customHeight="1">
      <x:c r="A10" s="41" t="str">
        <x:v>Southeast: High</x:v>
      </x:c>
      <x:c r="B10" s="41" t="n">
        <x:f>COUNTIF('Employer Master'!F2:F56,"High")</x:f>
        <x:v>13</x:v>
      </x:c>
      <x:c r="C10" s="41"/>
      <x:c r="D10" s="41" t="str">
        <x:v>Audio systems / components</x:v>
      </x:c>
      <x:c r="E10" s="41" t="n">
        <x:f>COUNTIF('Employer Master'!A2:A56,D10)</x:f>
        <x:v>6</x:v>
      </x:c>
      <x:c r="F10" s="41"/>
      <x:c r="G10" s="41"/>
      <x:c r="H10" s="41"/>
    </x:row>
    <x:row r="11" ht="15" hidden="0" customHeight="1">
      <x:c r="A11" s="41"/>
      <x:c r="B11" s="41"/>
      <x:c r="C11" s="41"/>
      <x:c r="D11" s="41" t="str">
        <x:v>Measurement / NVH / validation</x:v>
      </x:c>
      <x:c r="E11" s="41" t="n">
        <x:f>COUNTIF('Employer Master'!A2:A56,D11)</x:f>
        <x:v>6</x:v>
      </x:c>
      <x:c r="F11" s="41"/>
      <x:c r="G11" s="41"/>
      <x:c r="H11" s="41"/>
    </x:row>
    <x:row r="12" ht="15" hidden="0" customHeight="1">
      <x:c r="A12" s="41"/>
      <x:c r="B12" s="41"/>
      <x:c r="C12" s="41"/>
      <x:c r="D12" s="41" t="str">
        <x:v>Engineering services / consulting</x:v>
      </x:c>
      <x:c r="E12" s="41" t="n">
        <x:f>COUNTIF('Employer Master'!A2:A56,D12)</x:f>
        <x:v>5</x:v>
      </x:c>
      <x:c r="F12" s="41"/>
      <x:c r="G12" s="41"/>
      <x:c r="H12" s="41"/>
    </x:row>
    <x:row r="13" ht="15" hidden="0" customHeight="1">
      <x:c r="A13" s="41"/>
      <x:c r="B13" s="41"/>
      <x:c r="C13" s="41"/>
      <x:c r="D13" s="41" t="str">
        <x:v>Aftermarket / specialty audio</x:v>
      </x:c>
      <x:c r="E13" s="41" t="n">
        <x:f>COUNTIF('Employer Master'!A2:A56,D13)</x:f>
        <x:v>6</x:v>
      </x:c>
      <x:c r="F13" s="41"/>
      <x:c r="G13" s="41"/>
      <x:c r="H13" s="41"/>
    </x:row>
    <x:row r="14" ht="15" hidden="0" customHeight="1">
      <x:c r="A14" s="41"/>
      <x:c r="B14" s="41"/>
      <x:c r="C14" s="41"/>
      <x:c r="D14" s="41"/>
      <x:c r="E14" s="41"/>
      <x:c r="F14" s="41"/>
      <x:c r="G14" s="41"/>
      <x:c r="H14" s="41"/>
    </x:row>
    <x:row r="15" ht="15" hidden="0" customHeight="1">
      <x:c r="A15" s="41"/>
      <x:c r="B15" s="41"/>
      <x:c r="C15" s="41"/>
      <x:c r="D15" s="41"/>
      <x:c r="E15" s="41"/>
      <x:c r="F15" s="41"/>
      <x:c r="G15" s="41"/>
      <x:c r="H15" s="41"/>
    </x:row>
    <x:row r="16" ht="15" hidden="0" customHeight="1">
      <x:c r="A16" s="37" t="str">
        <x:v>Recommended starting sequence</x:v>
      </x:c>
      <x:c r="B16" s="37"/>
      <x:c r="C16" s="37"/>
      <x:c r="D16" s="37"/>
      <x:c r="E16" s="37"/>
      <x:c r="F16" s="37"/>
      <x:c r="G16" s="37"/>
      <x:c r="H16" s="37"/>
    </x:row>
    <x:row r="17" ht="34" hidden="0" customHeight="1">
      <x:c r="A17" s="42" t="str">
        <x:v>1</x:v>
      </x:c>
      <x:c r="B17" s="42" t="str">
        <x:v>Regional Tier 1s</x:v>
      </x:c>
      <x:c r="C17" s="42" t="str">
        <x:v>Panasonic Automotive first; then Mercedes-Benz Atlanta and Hyundai/Kia/Georgia ecosystem.</x:v>
      </x:c>
      <x:c r="D17" s="42" t="str"/>
      <x:c r="E17" s="42" t="str"/>
      <x:c r="F17" s="42" t="str"/>
      <x:c r="G17" s="42" t="str"/>
      <x:c r="H17" s="42" t="str"/>
    </x:row>
    <x:row r="18" ht="34" hidden="0" customHeight="1">
      <x:c r="A18" s="42" t="str">
        <x:v>2</x:v>
      </x:c>
      <x:c r="B18" s="42" t="str">
        <x:v>Detroit audio core</x:v>
      </x:c>
      <x:c r="C18" s="42" t="str">
        <x:v>HARMAN, Alps Alpine, FORVIA/Clarion, Bose, OEM engineering centers.</x:v>
      </x:c>
      <x:c r="D18" s="42" t="str"/>
      <x:c r="E18" s="42" t="str"/>
      <x:c r="F18" s="42" t="str"/>
      <x:c r="G18" s="42" t="str"/>
      <x:c r="H18" s="42" t="str"/>
    </x:row>
    <x:row r="19" ht="34" hidden="0" customHeight="1">
      <x:c r="A19" s="42" t="str">
        <x:v>3</x:v>
      </x:c>
      <x:c r="B19" s="42" t="str">
        <x:v>DSP/software</x:v>
      </x:c>
      <x:c r="C19" s="42" t="str">
        <x:v>DSP Concepts, Dirac, Dolby, Analog Devices, NXP and TI.</x:v>
      </x:c>
      <x:c r="D19" s="42" t="str"/>
      <x:c r="E19" s="42" t="str"/>
      <x:c r="F19" s="42" t="str"/>
      <x:c r="G19" s="42" t="str"/>
      <x:c r="H19" s="42" t="str"/>
    </x:row>
    <x:row r="20" ht="34" hidden="0" customHeight="1">
      <x:c r="A20" s="42" t="str">
        <x:v>4</x:v>
      </x:c>
      <x:c r="B20" s="42" t="str">
        <x:v>Measurement</x:v>
      </x:c>
      <x:c r="C20" s="42" t="str">
        <x:v>HEAD acoustics, Audio Precision, HBK, GRAS and Klippel.</x:v>
      </x:c>
      <x:c r="D20" s="42" t="str"/>
      <x:c r="E20" s="42" t="str"/>
      <x:c r="F20" s="42" t="str"/>
      <x:c r="G20" s="42" t="str"/>
      <x:c r="H20" s="42" t="str"/>
    </x:row>
    <x:row r="21" ht="34" hidden="0" customHeight="1">
      <x:c r="A21" s="42" t="str">
        <x:v>5</x:v>
      </x:c>
      <x:c r="B21" s="42" t="str">
        <x:v>Specialty audio</x:v>
      </x:c>
      <x:c r="C21" s="42" t="str">
        <x:v>JL Audio/Garmin, KICKER and Rockford Fosgate.</x:v>
      </x:c>
      <x:c r="D21" s="42" t="str"/>
      <x:c r="E21" s="42" t="str"/>
      <x:c r="F21" s="42" t="str"/>
      <x:c r="G21" s="42" t="str"/>
      <x:c r="H21" s="42" t="str"/>
    </x:row>
  </x:sheetData>
  <x:mergeCells>
    <x:mergeCell ref="A1:H2"/>
    <x:mergeCell ref="A4:H4"/>
    <x:mergeCell ref="A16: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42" hidden="0" customWidth="1"/>
    <x:col min="4" max="4" width="38" hidden="0" customWidth="1"/>
    <x:col min="5" max="5" width="36" hidden="0" customWidth="1"/>
    <x:col min="6" max="6" width="14" hidden="0" customWidth="1"/>
    <x:col min="7" max="7" width="12" hidden="0" customWidth="1"/>
    <x:col min="8" max="8" width="46" hidden="0" customWidth="1"/>
    <x:col min="9" max="9" width="34" hidden="0" customWidth="1"/>
    <x:col min="10" max="10" width="36" hidden="0" customWidth="1"/>
    <x:col min="11" max="11" width="32" hidden="0" customWidth="1"/>
    <x:col min="12" max="12" width="14" hidden="0" customWidth="1"/>
    <x:col min="13" max="13" width="16" hidden="0" customWidth="1"/>
    <x:col min="14" max="14" width="24" hidden="0" customWidth="1"/>
    <x:col min="15" max="15" width="28" hidden="0" customWidth="1"/>
    <x:col min="16" max="16" width="14" hidden="0" customWidth="1"/>
  </x:cols>
  <x:sheetData>
    <x:row r="1" ht="38" customHeight="1">
      <x:c r="A1" s="43" t="str">
        <x:v>Category</x:v>
      </x:c>
      <x:c r="B1" s="43" t="str">
        <x:v>Employer</x:v>
      </x:c>
      <x:c r="C1" s="43" t="str">
        <x:v>Automotive-audio relevance</x:v>
      </x:c>
      <x:c r="D1" s="43" t="str">
        <x:v>Likely role families</x:v>
      </x:c>
      <x:c r="E1" s="43" t="str">
        <x:v>Primary US / North American hubs</x:v>
      </x:c>
      <x:c r="F1" s="43" t="str">
        <x:v>Southeast relevance</x:v>
      </x:c>
      <x:c r="G1" s="43" t="str">
        <x:v>Priority</x:v>
      </x:c>
      <x:c r="H1" s="43" t="str">
        <x:v>Why it fits Kevin</x:v>
      </x:c>
      <x:c r="I1" s="43" t="str">
        <x:v>Careers</x:v>
      </x:c>
      <x:c r="J1" s="43" t="str">
        <x:v>Official evidence</x:v>
      </x:c>
      <x:c r="K1" s="43" t="str">
        <x:v>Verification status</x:v>
      </x:c>
      <x:c r="L1" s="43" t="str">
        <x:v>Last verified</x:v>
      </x:c>
      <x:c r="M1" s="43" t="str">
        <x:v>Application status</x:v>
      </x:c>
      <x:c r="N1" s="43" t="str">
        <x:v>Contact / referral</x:v>
      </x:c>
      <x:c r="O1" s="43" t="str">
        <x:v>Next action</x:v>
      </x:c>
      <x:c r="P1" s="43" t="str">
        <x:v>Last checked</x:v>
      </x:c>
    </x:row>
    <x:row r="2">
      <x:c r="A2" s="44" t="str">
        <x:v>Tier 1 / integrated systems</x:v>
      </x:c>
      <x:c r="B2" s="44" t="str">
        <x:v>HARMAN Automotive</x:v>
      </x:c>
      <x:c r="C2" s="44" t="str">
        <x:v>Audio systems, branded audio, DSP, validation, tuning, connected cockpit</x:v>
      </x:c>
      <x:c r="D2" s="44" t="str">
        <x:v>Audio systems; acoustic tuning; DSP; validation; software project engineering</x:v>
      </x:c>
      <x:c r="E2" s="44" t="str">
        <x:v>Novi, MI; multiple US sites</x:v>
      </x:c>
      <x:c r="F2" s="44" t="str">
        <x:v>High</x:v>
      </x:c>
      <x:c r="G2" s="44" t="str">
        <x:v>Highest</x:v>
      </x:c>
      <x:c r="H2" s="44" t="str">
        <x:v>Direct match; current Novi car-audio roles were visible during verification</x:v>
      </x:c>
      <x:c r="I2" s="44" t="str">
        <x:v>https://jobsearch.harman.com/en_US/careers/SearchJobs/</x:v>
      </x:c>
      <x:c r="J2" s="44" t="str">
        <x:v>https://www.harman.com/automotive</x:v>
      </x:c>
      <x:c r="K2" s="44" t="str">
        <x:v>Active audio roles verified</x:v>
      </x:c>
      <x:c r="L2" s="44" t="str">
        <x:v>2026-08-01</x:v>
      </x:c>
      <x:c r="M2" s="44" t="str">
        <x:v>Not started</x:v>
      </x:c>
      <x:c r="N2" s="44" t="str"/>
      <x:c r="O2" s="44" t="str">
        <x:v>Review careers page</x:v>
      </x:c>
      <x:c r="P2" s="44" t="str"/>
    </x:row>
    <x:row r="3">
      <x:c r="A3" s="44" t="str">
        <x:v>Tier 1 / integrated systems</x:v>
      </x:c>
      <x:c r="B3" s="44" t="str">
        <x:v>Panasonic Automotive Systems Company of America</x:v>
      </x:c>
      <x:c r="C3" s="44" t="str">
        <x:v>Infotainment, connectivity and premium branded audio programs</x:v>
      </x:c>
      <x:c r="D3" s="44" t="str">
        <x:v>Systems; validation; embedded software; audio integration; program engineering</x:v>
      </x:c>
      <x:c r="E3" s="44" t="str">
        <x:v>Peachtree City, GA; Farmington Hills, MI</x:v>
      </x:c>
      <x:c r="F3" s="44" t="str">
        <x:v>High</x:v>
      </x:c>
      <x:c r="G3" s="44" t="str">
        <x:v>Highest</x:v>
      </x:c>
      <x:c r="H3" s="44" t="str">
        <x:v>Georgia headquarters makes this the strongest regional Tier 1 target</x:v>
      </x:c>
      <x:c r="I3" s="44" t="str">
        <x:v>https://careers.na.panasonic.com/automotive</x:v>
      </x:c>
      <x:c r="J3" s="44" t="str">
        <x:v>https://na.panasonic.com/news/panasonic-automotive-introduces-neuron-high-performance-compute-hpc-to-advance-to-a-software-defined-mobility-future</x:v>
      </x:c>
      <x:c r="K3" s="44" t="str">
        <x:v>Employer verified; search openings</x:v>
      </x:c>
      <x:c r="L3" s="44" t="str">
        <x:v>2026-08-01</x:v>
      </x:c>
      <x:c r="M3" s="44" t="str">
        <x:v>Not started</x:v>
      </x:c>
      <x:c r="N3" s="44" t="str"/>
      <x:c r="O3" s="44" t="str">
        <x:v>Review careers page</x:v>
      </x:c>
      <x:c r="P3" s="44" t="str"/>
    </x:row>
    <x:row r="4">
      <x:c r="A4" s="44" t="str">
        <x:v>Tier 1 / integrated systems</x:v>
      </x:c>
      <x:c r="B4" s="44" t="str">
        <x:v>Alps Alpine North America</x:v>
      </x:c>
      <x:c r="C4" s="44" t="str">
        <x:v>OEM infotainment, electronics, audio and HMI systems</x:v>
      </x:c>
      <x:c r="D4" s="44" t="str">
        <x:v>Audio systems; embedded software; validation; electrical; program engineering</x:v>
      </x:c>
      <x:c r="E4" s="44" t="str">
        <x:v>Auburn Hills, MI; Santa Clara, CA; Torrance, CA; Dublin, OH</x:v>
      </x:c>
      <x:c r="F4" s="44" t="str">
        <x:v>Medium</x:v>
      </x:c>
      <x:c r="G4" s="44" t="str">
        <x:v>Highest</x:v>
      </x:c>
      <x:c r="H4" s="44" t="str">
        <x:v>Direct OEM-supplier route with Detroit-area engineering presence</x:v>
      </x:c>
      <x:c r="I4" s="44" t="str">
        <x:v>https://recruit.alpsalpine.com/e/recruit/</x:v>
      </x:c>
      <x:c r="J4" s="44" t="str">
        <x:v>https://www.alpsalpine.com/e/company/net-america/</x:v>
      </x:c>
      <x:c r="K4" s="44" t="str">
        <x:v>Employer and US hubs verified</x:v>
      </x:c>
      <x:c r="L4" s="44" t="str">
        <x:v>2026-08-01</x:v>
      </x:c>
      <x:c r="M4" s="44" t="str">
        <x:v>Not started</x:v>
      </x:c>
      <x:c r="N4" s="44" t="str"/>
      <x:c r="O4" s="44" t="str">
        <x:v>Review careers page</x:v>
      </x:c>
      <x:c r="P4" s="44" t="str"/>
    </x:row>
    <x:row r="5">
      <x:c r="A5" s="44" t="str">
        <x:v>Tier 1 / integrated systems</x:v>
      </x:c>
      <x:c r="B5" s="44" t="str">
        <x:v>FORVIA / Clarion Electronics</x:v>
      </x:c>
      <x:c r="C5" s="44" t="str">
        <x:v>Cockpit electronics, digital sound, infotainment and tuning algorithms</x:v>
      </x:c>
      <x:c r="D5" s="44" t="str">
        <x:v>Audio tuning; systems; validation; embedded software; customer engineering</x:v>
      </x:c>
      <x:c r="E5" s="44" t="str">
        <x:v>Michigan and other North American sites—verify by role</x:v>
      </x:c>
      <x:c r="F5" s="44" t="str">
        <x:v>Medium</x:v>
      </x:c>
      <x:c r="G5" s="44" t="str">
        <x:v>High</x:v>
      </x:c>
      <x:c r="H5" s="44" t="str">
        <x:v>Clarion side is specifically relevant to OEM audio and cockpit electronics</x:v>
      </x:c>
      <x:c r="I5" s="44" t="str">
        <x:v>https://careers.forvia.com/</x:v>
      </x:c>
      <x:c r="J5" s="44" t="str">
        <x:v>https://www.forvia.com/en/insights/cockpit-connected-future</x:v>
      </x:c>
      <x:c r="K5" s="44" t="str">
        <x:v>Employer relevance verified</x:v>
      </x:c>
      <x:c r="L5" s="44" t="str">
        <x:v>2026-08-01</x:v>
      </x:c>
      <x:c r="M5" s="44" t="str">
        <x:v>Not started</x:v>
      </x:c>
      <x:c r="N5" s="44" t="str"/>
      <x:c r="O5" s="44" t="str">
        <x:v>Review careers page</x:v>
      </x:c>
      <x:c r="P5" s="44" t="str"/>
    </x:row>
    <x:row r="6">
      <x:c r="A6" s="44" t="str">
        <x:v>Tier 1 / integrated systems</x:v>
      </x:c>
      <x:c r="B6" s="44" t="str">
        <x:v>Continental Automotive</x:v>
      </x:c>
      <x:c r="C6" s="44" t="str">
        <x:v>Vehicle electronics, displays, software and speakerless Ac2ated Sound</x:v>
      </x:c>
      <x:c r="D6" s="44" t="str">
        <x:v>Acoustic systems; NVH; software; validation; systems engineering</x:v>
      </x:c>
      <x:c r="E6" s="44" t="str">
        <x:v>Auburn Hills, MI and multiple US engineering sites</x:v>
      </x:c>
      <x:c r="F6" s="44" t="str">
        <x:v>Medium</x:v>
      </x:c>
      <x:c r="G6" s="44" t="str">
        <x:v>High</x:v>
      </x:c>
      <x:c r="H6" s="44" t="str">
        <x:v>Audio-adjacent route combining acoustics, cockpit and vehicle systems</x:v>
      </x:c>
      <x:c r="I6" s="44" t="str">
        <x:v>https://jobs.continental.com/</x:v>
      </x:c>
      <x:c r="J6" s="44" t="str">
        <x:v>https://www.continental.com/en/press/press-releases/20250326-ac2atedsound-display/</x:v>
      </x:c>
      <x:c r="K6" s="44" t="str">
        <x:v>Employer relevance verified</x:v>
      </x:c>
      <x:c r="L6" s="44" t="str">
        <x:v>2026-08-01</x:v>
      </x:c>
      <x:c r="M6" s="44" t="str">
        <x:v>Not started</x:v>
      </x:c>
      <x:c r="N6" s="44" t="str"/>
      <x:c r="O6" s="44" t="str">
        <x:v>Review careers page</x:v>
      </x:c>
      <x:c r="P6" s="44" t="str"/>
    </x:row>
    <x:row r="7">
      <x:c r="A7" s="44" t="str">
        <x:v>Tier 1 / integrated systems</x:v>
      </x:c>
      <x:c r="B7" s="44" t="str">
        <x:v>Visteon</x:v>
      </x:c>
      <x:c r="C7" s="44" t="str">
        <x:v>Digital cockpit and Android infotainment platforms</x:v>
      </x:c>
      <x:c r="D7" s="44" t="str">
        <x:v>Infotainment; embedded audio; systems; validation; software</x:v>
      </x:c>
      <x:c r="E7" s="44" t="str">
        <x:v>Van Buren Township, MI and global engineering sites</x:v>
      </x:c>
      <x:c r="F7" s="44" t="str">
        <x:v>Low</x:v>
      </x:c>
      <x:c r="G7" s="44" t="str">
        <x:v>High</x:v>
      </x:c>
      <x:c r="H7" s="44" t="str">
        <x:v>Useful cockpit-software route; audio roles may be embedded in infotainment titles</x:v>
      </x:c>
      <x:c r="I7" s="44" t="str">
        <x:v>https://www.visteon.com/careers/</x:v>
      </x:c>
      <x:c r="J7" s="44" t="str">
        <x:v>https://www.visteon.com/products-technology/digital-cockpit/android-infotainment/default.aspx</x:v>
      </x:c>
      <x:c r="K7" s="44" t="str">
        <x:v>Employer relevance verified</x:v>
      </x:c>
      <x:c r="L7" s="44" t="str">
        <x:v>2026-08-01</x:v>
      </x:c>
      <x:c r="M7" s="44" t="str">
        <x:v>Not started</x:v>
      </x:c>
      <x:c r="N7" s="44" t="str"/>
      <x:c r="O7" s="44" t="str">
        <x:v>Review careers page</x:v>
      </x:c>
      <x:c r="P7" s="44" t="str"/>
    </x:row>
    <x:row r="8">
      <x:c r="A8" s="44" t="str">
        <x:v>Tier 1 / integrated systems</x:v>
      </x:c>
      <x:c r="B8" s="44" t="str">
        <x:v>LG Electronics Vehicle Solution</x:v>
      </x:c>
      <x:c r="C8" s="44" t="str">
        <x:v>In-vehicle infotainment, telematics and software-defined mobility</x:v>
      </x:c>
      <x:c r="D8" s="44" t="str">
        <x:v>IVI; embedded software; audio integration; validation; systems</x:v>
      </x:c>
      <x:c r="E8" s="44" t="str">
        <x:v>Troy, MI and other US sites—verify by role</x:v>
      </x:c>
      <x:c r="F8" s="44" t="str">
        <x:v>Low</x:v>
      </x:c>
      <x:c r="G8" s="44" t="str">
        <x:v>High</x:v>
      </x:c>
      <x:c r="H8" s="44" t="str">
        <x:v>Strong adjacent employer for integrated vehicle media systems</x:v>
      </x:c>
      <x:c r="I8" s="44" t="str">
        <x:v>https://careers.lg.com/</x:v>
      </x:c>
      <x:c r="J8" s="44" t="str">
        <x:v>https://www.lg.com/global/business/mobility/</x:v>
      </x:c>
      <x:c r="K8" s="44" t="str">
        <x:v>Employer relevance verified</x:v>
      </x:c>
      <x:c r="L8" s="44" t="str">
        <x:v>2026-08-01</x:v>
      </x:c>
      <x:c r="M8" s="44" t="str">
        <x:v>Not started</x:v>
      </x:c>
      <x:c r="N8" s="44" t="str"/>
      <x:c r="O8" s="44" t="str">
        <x:v>Review careers page</x:v>
      </x:c>
      <x:c r="P8" s="44" t="str"/>
    </x:row>
    <x:row r="9">
      <x:c r="A9" s="44" t="str">
        <x:v>Tier 1 / integrated systems</x:v>
      </x:c>
      <x:c r="B9" s="44" t="str">
        <x:v>Aptiv</x:v>
      </x:c>
      <x:c r="C9" s="44" t="str">
        <x:v>Vehicle architecture, infotainment connectivity and software platforms</x:v>
      </x:c>
      <x:c r="D9" s="44" t="str">
        <x:v>Systems; embedded software; validation; electrical integration</x:v>
      </x:c>
      <x:c r="E9" s="44" t="str">
        <x:v>Troy, MI; Boston, MA; multiple US sites</x:v>
      </x:c>
      <x:c r="F9" s="44" t="str">
        <x:v>Low</x:v>
      </x:c>
      <x:c r="G9" s="44" t="str">
        <x:v>Medium</x:v>
      </x:c>
      <x:c r="H9" s="44" t="str">
        <x:v>Broader vehicle-systems route; filter carefully for audio/infotainment work</x:v>
      </x:c>
      <x:c r="I9" s="44" t="str">
        <x:v>https://jobs.aptiv.com/</x:v>
      </x:c>
      <x:c r="J9" s="44" t="str">
        <x:v>https://www.aptiv.com/</x:v>
      </x:c>
      <x:c r="K9" s="44" t="str">
        <x:v>Target employer; opening not verified</x:v>
      </x:c>
      <x:c r="L9" s="44" t="str">
        <x:v>2026-08-01</x:v>
      </x:c>
      <x:c r="M9" s="44" t="str">
        <x:v>Not started</x:v>
      </x:c>
      <x:c r="N9" s="44" t="str"/>
      <x:c r="O9" s="44" t="str">
        <x:v>Review careers page</x:v>
      </x:c>
      <x:c r="P9" s="44" t="str"/>
    </x:row>
    <x:row r="10">
      <x:c r="A10" s="44" t="str">
        <x:v>Tier 1 / integrated systems</x:v>
      </x:c>
      <x:c r="B10" s="44" t="str">
        <x:v>Bosch Mobility</x:v>
      </x:c>
      <x:c r="C10" s="44" t="str">
        <x:v>Vehicle electronics, infotainment, microphones and software</x:v>
      </x:c>
      <x:c r="D10" s="44" t="str">
        <x:v>Systems; embedded DSP; microphones; validation; applications</x:v>
      </x:c>
      <x:c r="E10" s="44" t="str">
        <x:v>Farmington Hills/Plymouth, MI and multiple US sites</x:v>
      </x:c>
      <x:c r="F10" s="44" t="str">
        <x:v>Low</x:v>
      </x:c>
      <x:c r="G10" s="44" t="str">
        <x:v>High</x:v>
      </x:c>
      <x:c r="H10" s="44" t="str">
        <x:v>Large mobility engineering base with audio-adjacent component and software work</x:v>
      </x:c>
      <x:c r="I10" s="44" t="str">
        <x:v>https://www.bosch.us/careers/</x:v>
      </x:c>
      <x:c r="J10" s="44" t="str">
        <x:v>https://www.bosch-mobility.com/</x:v>
      </x:c>
      <x:c r="K10" s="44" t="str">
        <x:v>Target employer; opening not verified</x:v>
      </x:c>
      <x:c r="L10" s="44" t="str">
        <x:v>2026-08-01</x:v>
      </x:c>
      <x:c r="M10" s="44" t="str">
        <x:v>Not started</x:v>
      </x:c>
      <x:c r="N10" s="44" t="str"/>
      <x:c r="O10" s="44" t="str">
        <x:v>Review careers page</x:v>
      </x:c>
      <x:c r="P10" s="44" t="str"/>
    </x:row>
    <x:row r="11">
      <x:c r="A11" s="44" t="str">
        <x:v>Tier 1 / integrated systems</x:v>
      </x:c>
      <x:c r="B11" s="44" t="str">
        <x:v>DENSO</x:v>
      </x:c>
      <x:c r="C11" s="44" t="str">
        <x:v>Vehicle electronics, cockpit and connected systems</x:v>
      </x:c>
      <x:c r="D11" s="44" t="str">
        <x:v>Systems; validation; embedded software; electrical; test</x:v>
      </x:c>
      <x:c r="E11" s="44" t="str">
        <x:v>Southfield/Battle Creek, MI; Maryville, TN; other US sites</x:v>
      </x:c>
      <x:c r="F11" s="44" t="str">
        <x:v>High</x:v>
      </x:c>
      <x:c r="G11" s="44" t="str">
        <x:v>Medium</x:v>
      </x:c>
      <x:c r="H11" s="44" t="str">
        <x:v>Southeast and Michigan footprint; audio is usually embedded in broader cockpit work</x:v>
      </x:c>
      <x:c r="I11" s="44" t="str">
        <x:v>https://careers.denso.com/</x:v>
      </x:c>
      <x:c r="J11" s="44" t="str">
        <x:v>https://www.denso.com/us-ca/en/</x:v>
      </x:c>
      <x:c r="K11" s="44" t="str">
        <x:v>Target employer; opening not verified</x:v>
      </x:c>
      <x:c r="L11" s="44" t="str">
        <x:v>2026-08-01</x:v>
      </x:c>
      <x:c r="M11" s="44" t="str">
        <x:v>Not started</x:v>
      </x:c>
      <x:c r="N11" s="44" t="str"/>
      <x:c r="O11" s="44" t="str">
        <x:v>Review careers page</x:v>
      </x:c>
      <x:c r="P11" s="44" t="str"/>
    </x:row>
    <x:row r="12">
      <x:c r="A12" s="44" t="str">
        <x:v>OEM / vehicle manufacturer</x:v>
      </x:c>
      <x:c r="B12" s="44" t="str">
        <x:v>General Motors</x:v>
      </x:c>
      <x:c r="C12" s="44" t="str">
        <x:v>In-house vehicle audio, infotainment, validation and user-experience programs</x:v>
      </x:c>
      <x:c r="D12" s="44" t="str">
        <x:v>Audio systems; infotainment; validation; DSP; systems integration</x:v>
      </x:c>
      <x:c r="E12" s="44" t="str">
        <x:v>Warren/Milford, MI; Atlanta, GA software presence; other sites</x:v>
      </x:c>
      <x:c r="F12" s="44" t="str">
        <x:v>High</x:v>
      </x:c>
      <x:c r="G12" s="44" t="str">
        <x:v>Highest</x:v>
      </x:c>
      <x:c r="H12" s="44" t="str">
        <x:v>Major in-house systems path and geographically relevant software presence</x:v>
      </x:c>
      <x:c r="I12" s="44" t="str">
        <x:v>https://search-careers.gm.com/en/jobs/</x:v>
      </x:c>
      <x:c r="J12" s="44" t="str">
        <x:v>https://www.gm.com/</x:v>
      </x:c>
      <x:c r="K12" s="44" t="str">
        <x:v>Target employer; search current roles</x:v>
      </x:c>
      <x:c r="L12" s="44" t="str">
        <x:v>2026-08-01</x:v>
      </x:c>
      <x:c r="M12" s="44" t="str">
        <x:v>Not started</x:v>
      </x:c>
      <x:c r="N12" s="44" t="str"/>
      <x:c r="O12" s="44" t="str">
        <x:v>Review careers page</x:v>
      </x:c>
      <x:c r="P12" s="44" t="str"/>
    </x:row>
    <x:row r="13">
      <x:c r="A13" s="44" t="str">
        <x:v>OEM / vehicle manufacturer</x:v>
      </x:c>
      <x:c r="B13" s="44" t="str">
        <x:v>Ford Motor Company</x:v>
      </x:c>
      <x:c r="C13" s="44" t="str">
        <x:v>Vehicle audio, infotainment, connected experiences and validation</x:v>
      </x:c>
      <x:c r="D13" s="44" t="str">
        <x:v>Audio systems; tuning; infotainment; validation; embedded software</x:v>
      </x:c>
      <x:c r="E13" s="44" t="str">
        <x:v>Dearborn, MI and multiple US sites</x:v>
      </x:c>
      <x:c r="F13" s="44" t="str">
        <x:v>Low</x:v>
      </x:c>
      <x:c r="G13" s="44" t="str">
        <x:v>Highest</x:v>
      </x:c>
      <x:c r="H13" s="44" t="str">
        <x:v>Core Detroit OEM target for long-term in-house audio work</x:v>
      </x:c>
      <x:c r="I13" s="44" t="str">
        <x:v>https://www.careers.ford.com/</x:v>
      </x:c>
      <x:c r="J13" s="44" t="str">
        <x:v>https://www.ford.com/</x:v>
      </x:c>
      <x:c r="K13" s="44" t="str">
        <x:v>Target employer; search current roles</x:v>
      </x:c>
      <x:c r="L13" s="44" t="str">
        <x:v>2026-08-01</x:v>
      </x:c>
      <x:c r="M13" s="44" t="str">
        <x:v>Not started</x:v>
      </x:c>
      <x:c r="N13" s="44" t="str"/>
      <x:c r="O13" s="44" t="str">
        <x:v>Review careers page</x:v>
      </x:c>
      <x:c r="P13" s="44" t="str"/>
    </x:row>
    <x:row r="14">
      <x:c r="A14" s="44" t="str">
        <x:v>OEM / vehicle manufacturer</x:v>
      </x:c>
      <x:c r="B14" s="44" t="str">
        <x:v>Stellantis</x:v>
      </x:c>
      <x:c r="C14" s="44" t="str">
        <x:v>Vehicle audio, infotainment, electrical systems and validation</x:v>
      </x:c>
      <x:c r="D14" s="44" t="str">
        <x:v>Audio systems; infotainment; validation; systems integration</x:v>
      </x:c>
      <x:c r="E14" s="44" t="str">
        <x:v>Auburn Hills, MI and multiple US sites</x:v>
      </x:c>
      <x:c r="F14" s="44" t="str">
        <x:v>Low</x:v>
      </x:c>
      <x:c r="G14" s="44" t="str">
        <x:v>Highest</x:v>
      </x:c>
      <x:c r="H14" s="44" t="str">
        <x:v>Core Detroit OEM target; search Chrysler/Jeep/Ram vehicle-experience teams</x:v>
      </x:c>
      <x:c r="I14" s="44" t="str">
        <x:v>https://careers.stellantis.com/</x:v>
      </x:c>
      <x:c r="J14" s="44" t="str">
        <x:v>https://www.stellantis.com/</x:v>
      </x:c>
      <x:c r="K14" s="44" t="str">
        <x:v>Target employer; search current roles</x:v>
      </x:c>
      <x:c r="L14" s="44" t="str">
        <x:v>2026-08-01</x:v>
      </x:c>
      <x:c r="M14" s="44" t="str">
        <x:v>Not started</x:v>
      </x:c>
      <x:c r="N14" s="44" t="str"/>
      <x:c r="O14" s="44" t="str">
        <x:v>Review careers page</x:v>
      </x:c>
      <x:c r="P14" s="44" t="str"/>
    </x:row>
    <x:row r="15">
      <x:c r="A15" s="44" t="str">
        <x:v>OEM / vehicle manufacturer</x:v>
      </x:c>
      <x:c r="B15" s="44" t="str">
        <x:v>Toyota Motor North America</x:v>
      </x:c>
      <x:c r="C15" s="44" t="str">
        <x:v>Multimedia, connected vehicle and vehicle evaluation</x:v>
      </x:c>
      <x:c r="D15" s="44" t="str">
        <x:v>Multimedia systems; validation; audio quality; systems engineering</x:v>
      </x:c>
      <x:c r="E15" s="44" t="str">
        <x:v>Plano, TX; Ann Arbor/Saline, MI; Georgetown, KY</x:v>
      </x:c>
      <x:c r="F15" s="44" t="str">
        <x:v>Medium</x:v>
      </x:c>
      <x:c r="G15" s="44" t="str">
        <x:v>High</x:v>
      </x:c>
      <x:c r="H15" s="44" t="str">
        <x:v>Large US engineering organization with multimedia and evaluation pathways</x:v>
      </x:c>
      <x:c r="I15" s="44" t="str">
        <x:v>https://careers.toyota.com/</x:v>
      </x:c>
      <x:c r="J15" s="44" t="str">
        <x:v>https://www.toyota.com/usa/operations/map.html</x:v>
      </x:c>
      <x:c r="K15" s="44" t="str">
        <x:v>Target employer; search current roles</x:v>
      </x:c>
      <x:c r="L15" s="44" t="str">
        <x:v>2026-08-01</x:v>
      </x:c>
      <x:c r="M15" s="44" t="str">
        <x:v>Not started</x:v>
      </x:c>
      <x:c r="N15" s="44" t="str"/>
      <x:c r="O15" s="44" t="str">
        <x:v>Review careers page</x:v>
      </x:c>
      <x:c r="P15" s="44" t="str"/>
    </x:row>
    <x:row r="16">
      <x:c r="A16" s="44" t="str">
        <x:v>OEM / vehicle manufacturer</x:v>
      </x:c>
      <x:c r="B16" s="44" t="str">
        <x:v>Honda Development &amp; Manufacturing of America</x:v>
      </x:c>
      <x:c r="C16" s="44" t="str">
        <x:v>Vehicle infotainment, electrical systems and acoustic evaluation</x:v>
      </x:c>
      <x:c r="D16" s="44" t="str">
        <x:v>Infotainment; validation; electrical; NVH; systems</x:v>
      </x:c>
      <x:c r="E16" s="44" t="str">
        <x:v>Raymond, OH; Torrance, CA; other US sites</x:v>
      </x:c>
      <x:c r="F16" s="44" t="str">
        <x:v>Low</x:v>
      </x:c>
      <x:c r="G16" s="44" t="str">
        <x:v>High</x:v>
      </x:c>
      <x:c r="H16" s="44" t="str">
        <x:v>Good OEM route through infotainment, validation or NVH titles</x:v>
      </x:c>
      <x:c r="I16" s="44" t="str">
        <x:v>https://careers.honda.com/</x:v>
      </x:c>
      <x:c r="J16" s="44" t="str">
        <x:v>https://www.honda.com/operations</x:v>
      </x:c>
      <x:c r="K16" s="44" t="str">
        <x:v>Target employer; search current roles</x:v>
      </x:c>
      <x:c r="L16" s="44" t="str">
        <x:v>2026-08-01</x:v>
      </x:c>
      <x:c r="M16" s="44" t="str">
        <x:v>Not started</x:v>
      </x:c>
      <x:c r="N16" s="44" t="str"/>
      <x:c r="O16" s="44" t="str">
        <x:v>Review careers page</x:v>
      </x:c>
      <x:c r="P16" s="44" t="str"/>
    </x:row>
    <x:row r="17">
      <x:c r="A17" s="44" t="str">
        <x:v>OEM / vehicle manufacturer</x:v>
      </x:c>
      <x:c r="B17" s="44" t="str">
        <x:v>Nissan Technical Center North America</x:v>
      </x:c>
      <x:c r="C17" s="44" t="str">
        <x:v>Vehicle systems, infotainment, evaluation and acoustics</x:v>
      </x:c>
      <x:c r="D17" s="44" t="str">
        <x:v>Audio/infotainment; validation; systems; NVH</x:v>
      </x:c>
      <x:c r="E17" s="44" t="str">
        <x:v>Farmington Hills, MI; Smyrna/Franklin, TN; Arizona</x:v>
      </x:c>
      <x:c r="F17" s="44" t="str">
        <x:v>High</x:v>
      </x:c>
      <x:c r="G17" s="44" t="str">
        <x:v>High</x:v>
      </x:c>
      <x:c r="H17" s="44" t="str">
        <x:v>Tennessee footprint gives Southeast relevance</x:v>
      </x:c>
      <x:c r="I17" s="44" t="str">
        <x:v>https://www.nissanmotor.jobs/americas/</x:v>
      </x:c>
      <x:c r="J17" s="44" t="str">
        <x:v>https://www.nissan-global.com/EN/COMPANY/PROFILE/EN_ESTABLISHMENT/NORTH_AMERICA/</x:v>
      </x:c>
      <x:c r="K17" s="44" t="str">
        <x:v>Target employer; search current roles</x:v>
      </x:c>
      <x:c r="L17" s="44" t="str">
        <x:v>2026-08-01</x:v>
      </x:c>
      <x:c r="M17" s="44" t="str">
        <x:v>Not started</x:v>
      </x:c>
      <x:c r="N17" s="44" t="str"/>
      <x:c r="O17" s="44" t="str">
        <x:v>Review careers page</x:v>
      </x:c>
      <x:c r="P17" s="44" t="str"/>
    </x:row>
    <x:row r="18">
      <x:c r="A18" s="44" t="str">
        <x:v>OEM / vehicle manufacturer</x:v>
      </x:c>
      <x:c r="B18" s="44" t="str">
        <x:v>Hyundai Motor Group / Kia</x:v>
      </x:c>
      <x:c r="C18" s="44" t="str">
        <x:v>Infotainment, connected car, validation and vehicle development</x:v>
      </x:c>
      <x:c r="D18" s="44" t="str">
        <x:v>Infotainment; audio systems; validation; software; NVH</x:v>
      </x:c>
      <x:c r="E18" s="44" t="str">
        <x:v>Superior Township, MI; Georgia and Alabama manufacturing/R&amp;D ecosystem</x:v>
      </x:c>
      <x:c r="F18" s="44" t="str">
        <x:v>High</x:v>
      </x:c>
      <x:c r="G18" s="44" t="str">
        <x:v>High</x:v>
      </x:c>
      <x:c r="H18" s="44" t="str">
        <x:v>Strong regional ecosystem around Hyundai/Kia and Georgia production</x:v>
      </x:c>
      <x:c r="I18" s="44" t="str">
        <x:v>https://careers.hyundai.com/</x:v>
      </x:c>
      <x:c r="J18" s="44" t="str">
        <x:v>https://www.hyundaimotorgroup.com/</x:v>
      </x:c>
      <x:c r="K18" s="44" t="str">
        <x:v>Target employer; search current roles</x:v>
      </x:c>
      <x:c r="L18" s="44" t="str">
        <x:v>2026-08-01</x:v>
      </x:c>
      <x:c r="M18" s="44" t="str">
        <x:v>Not started</x:v>
      </x:c>
      <x:c r="N18" s="44" t="str"/>
      <x:c r="O18" s="44" t="str">
        <x:v>Review careers page</x:v>
      </x:c>
      <x:c r="P18" s="44" t="str"/>
    </x:row>
    <x:row r="19">
      <x:c r="A19" s="44" t="str">
        <x:v>OEM / vehicle manufacturer</x:v>
      </x:c>
      <x:c r="B19" s="44" t="str">
        <x:v>Mercedes-Benz USA / MB Research &amp; Development North America</x:v>
      </x:c>
      <x:c r="C19" s="44" t="str">
        <x:v>Vehicle infotainment, user experience and validation</x:v>
      </x:c>
      <x:c r="D19" s="44" t="str">
        <x:v>Infotainment; UX; systems; validation; audio integration</x:v>
      </x:c>
      <x:c r="E19" s="44" t="str">
        <x:v>Atlanta, GA; Sunnyvale/Long Beach, CA; Alabama operations</x:v>
      </x:c>
      <x:c r="F19" s="44" t="str">
        <x:v>High</x:v>
      </x:c>
      <x:c r="G19" s="44" t="str">
        <x:v>Highest</x:v>
      </x:c>
      <x:c r="H19" s="44" t="str">
        <x:v>Atlanta headquarters creates a valuable local automotive network target</x:v>
      </x:c>
      <x:c r="I19" s="44" t="str">
        <x:v>https://group.mercedes-benz.com/careers/</x:v>
      </x:c>
      <x:c r="J19" s="44" t="str">
        <x:v>https://www.mbrdna.com/</x:v>
      </x:c>
      <x:c r="K19" s="44" t="str">
        <x:v>Target employer; search current roles</x:v>
      </x:c>
      <x:c r="L19" s="44" t="str">
        <x:v>2026-08-01</x:v>
      </x:c>
      <x:c r="M19" s="44" t="str">
        <x:v>Not started</x:v>
      </x:c>
      <x:c r="N19" s="44" t="str"/>
      <x:c r="O19" s="44" t="str">
        <x:v>Review careers page</x:v>
      </x:c>
      <x:c r="P19" s="44" t="str"/>
    </x:row>
    <x:row r="20">
      <x:c r="A20" s="44" t="str">
        <x:v>OEM / vehicle manufacturer</x:v>
      </x:c>
      <x:c r="B20" s="44" t="str">
        <x:v>BMW Group</x:v>
      </x:c>
      <x:c r="C20" s="44" t="str">
        <x:v>Vehicle acoustics, infotainment, audio integration and validation</x:v>
      </x:c>
      <x:c r="D20" s="44" t="str">
        <x:v>Acoustics; infotainment; validation; systems; software</x:v>
      </x:c>
      <x:c r="E20" s="44" t="str">
        <x:v>Spartanburg, SC; Woodcliff Lake, NJ; US technical sites</x:v>
      </x:c>
      <x:c r="F20" s="44" t="str">
        <x:v>High</x:v>
      </x:c>
      <x:c r="G20" s="44" t="str">
        <x:v>High</x:v>
      </x:c>
      <x:c r="H20" s="44" t="str">
        <x:v>Spartanburg is a major nearby OEM ecosystem even if audio roles vary</x:v>
      </x:c>
      <x:c r="I20" s="44" t="str">
        <x:v>https://www.bmwgroup.jobs/us/en.html</x:v>
      </x:c>
      <x:c r="J20" s="44" t="str">
        <x:v>https://www.bmwgroup-werke.com/spartanburg/en.html</x:v>
      </x:c>
      <x:c r="K20" s="44" t="str">
        <x:v>Target employer; search current roles</x:v>
      </x:c>
      <x:c r="L20" s="44" t="str">
        <x:v>2026-08-01</x:v>
      </x:c>
      <x:c r="M20" s="44" t="str">
        <x:v>Not started</x:v>
      </x:c>
      <x:c r="N20" s="44" t="str"/>
      <x:c r="O20" s="44" t="str">
        <x:v>Review careers page</x:v>
      </x:c>
      <x:c r="P20" s="44" t="str"/>
    </x:row>
    <x:row r="21">
      <x:c r="A21" s="44" t="str">
        <x:v>OEM / vehicle manufacturer</x:v>
      </x:c>
      <x:c r="B21" s="44" t="str">
        <x:v>Volkswagen Group of America / Audi</x:v>
      </x:c>
      <x:c r="C21" s="44" t="str">
        <x:v>Infotainment, connected vehicle and user experience</x:v>
      </x:c>
      <x:c r="D21" s="44" t="str">
        <x:v>Audio integration; infotainment; validation; software</x:v>
      </x:c>
      <x:c r="E21" s="44" t="str">
        <x:v>Chattanooga, TN; Reston, VA; Michigan/California technical sites</x:v>
      </x:c>
      <x:c r="F21" s="44" t="str">
        <x:v>High</x:v>
      </x:c>
      <x:c r="G21" s="44" t="str">
        <x:v>High</x:v>
      </x:c>
      <x:c r="H21" s="44" t="str">
        <x:v>Chattanooga provides a regional OEM foothold</x:v>
      </x:c>
      <x:c r="I21" s="44" t="str">
        <x:v>https://careers.vw.com/</x:v>
      </x:c>
      <x:c r="J21" s="44" t="str">
        <x:v>https://www.volkswagengroupofamerica.com/</x:v>
      </x:c>
      <x:c r="K21" s="44" t="str">
        <x:v>Target employer; search current roles</x:v>
      </x:c>
      <x:c r="L21" s="44" t="str">
        <x:v>2026-08-01</x:v>
      </x:c>
      <x:c r="M21" s="44" t="str">
        <x:v>Not started</x:v>
      </x:c>
      <x:c r="N21" s="44" t="str"/>
      <x:c r="O21" s="44" t="str">
        <x:v>Review careers page</x:v>
      </x:c>
      <x:c r="P21" s="44" t="str"/>
    </x:row>
    <x:row r="22">
      <x:c r="A22" s="44" t="str">
        <x:v>OEM / vehicle manufacturer</x:v>
      </x:c>
      <x:c r="B22" s="44" t="str">
        <x:v>Volvo Cars</x:v>
      </x:c>
      <x:c r="C22" s="44" t="str">
        <x:v>Vehicle audio, infotainment and user-experience development</x:v>
      </x:c>
      <x:c r="D22" s="44" t="str">
        <x:v>Audio systems; infotainment; UX; validation</x:v>
      </x:c>
      <x:c r="E22" s="44" t="str">
        <x:v>Ridgeville, SC; New Jersey; California—verify by role</x:v>
      </x:c>
      <x:c r="F22" s="44" t="str">
        <x:v>High</x:v>
      </x:c>
      <x:c r="G22" s="44" t="str">
        <x:v>High</x:v>
      </x:c>
      <x:c r="H22" s="44" t="str">
        <x:v>South Carolina operations add regional relevance</x:v>
      </x:c>
      <x:c r="I22" s="44" t="str">
        <x:v>https://www.volvocars.com/us/l/careers/</x:v>
      </x:c>
      <x:c r="J22" s="44" t="str">
        <x:v>https://www.volvocars.com/us/</x:v>
      </x:c>
      <x:c r="K22" s="44" t="str">
        <x:v>Target employer; search current roles</x:v>
      </x:c>
      <x:c r="L22" s="44" t="str">
        <x:v>2026-08-01</x:v>
      </x:c>
      <x:c r="M22" s="44" t="str">
        <x:v>Not started</x:v>
      </x:c>
      <x:c r="N22" s="44" t="str"/>
      <x:c r="O22" s="44" t="str">
        <x:v>Review careers page</x:v>
      </x:c>
      <x:c r="P22" s="44" t="str"/>
    </x:row>
    <x:row r="23">
      <x:c r="A23" s="44" t="str">
        <x:v>OEM / vehicle manufacturer</x:v>
      </x:c>
      <x:c r="B23" s="44" t="str">
        <x:v>Rivian</x:v>
      </x:c>
      <x:c r="C23" s="44" t="str">
        <x:v>Premium vehicle audio, infotainment and embedded software</x:v>
      </x:c>
      <x:c r="D23" s="44" t="str">
        <x:v>Audio systems; DSP; infotainment; validation; embedded software</x:v>
      </x:c>
      <x:c r="E23" s="44" t="str">
        <x:v>Palo Alto/Irvine, CA; Normal, IL; planned Georgia presence</x:v>
      </x:c>
      <x:c r="F23" s="44" t="str">
        <x:v>High</x:v>
      </x:c>
      <x:c r="G23" s="44" t="str">
        <x:v>High</x:v>
      </x:c>
      <x:c r="H23" s="44" t="str">
        <x:v>Strong audio/software fit; location and hiring plans should be rechecked</x:v>
      </x:c>
      <x:c r="I23" s="44" t="str">
        <x:v>https://careers.rivian.com/</x:v>
      </x:c>
      <x:c r="J23" s="44" t="str">
        <x:v>https://rivian.com/</x:v>
      </x:c>
      <x:c r="K23" s="44" t="str">
        <x:v>Target employer; search current roles</x:v>
      </x:c>
      <x:c r="L23" s="44" t="str">
        <x:v>2026-08-01</x:v>
      </x:c>
      <x:c r="M23" s="44" t="str">
        <x:v>Not started</x:v>
      </x:c>
      <x:c r="N23" s="44" t="str"/>
      <x:c r="O23" s="44" t="str">
        <x:v>Review careers page</x:v>
      </x:c>
      <x:c r="P23" s="44" t="str"/>
    </x:row>
    <x:row r="24">
      <x:c r="A24" s="44" t="str">
        <x:v>OEM / vehicle manufacturer</x:v>
      </x:c>
      <x:c r="B24" s="44" t="str">
        <x:v>Lucid Motors</x:v>
      </x:c>
      <x:c r="C24" s="44" t="str">
        <x:v>Premium in-house audio, infotainment and vehicle software</x:v>
      </x:c>
      <x:c r="D24" s="44" t="str">
        <x:v>Audio systems; DSP; acoustic tuning; validation; embedded software</x:v>
      </x:c>
      <x:c r="E24" s="44" t="str">
        <x:v>Newark, CA; Casa Grande, AZ</x:v>
      </x:c>
      <x:c r="F24" s="44" t="str">
        <x:v>Low</x:v>
      </x:c>
      <x:c r="G24" s="44" t="str">
        <x:v>High</x:v>
      </x:c>
      <x:c r="H24" s="44" t="str">
        <x:v>Premium audio focus makes this a strong skill match despite geography</x:v>
      </x:c>
      <x:c r="I24" s="44" t="str">
        <x:v>https://lucidmotors.com/careers</x:v>
      </x:c>
      <x:c r="J24" s="44" t="str">
        <x:v>https://lucidmotors.com/</x:v>
      </x:c>
      <x:c r="K24" s="44" t="str">
        <x:v>Target employer; search current roles</x:v>
      </x:c>
      <x:c r="L24" s="44" t="str">
        <x:v>2026-08-01</x:v>
      </x:c>
      <x:c r="M24" s="44" t="str">
        <x:v>Not started</x:v>
      </x:c>
      <x:c r="N24" s="44" t="str"/>
      <x:c r="O24" s="44" t="str">
        <x:v>Review careers page</x:v>
      </x:c>
      <x:c r="P24" s="44" t="str"/>
    </x:row>
    <x:row r="25">
      <x:c r="A25" s="44" t="str">
        <x:v>OEM / vehicle manufacturer</x:v>
      </x:c>
      <x:c r="B25" s="44" t="str">
        <x:v>Tesla</x:v>
      </x:c>
      <x:c r="C25" s="44" t="str">
        <x:v>Vehicle infotainment, audio systems, signal processing and validation</x:v>
      </x:c>
      <x:c r="D25" s="44" t="str">
        <x:v>Audio DSP; embedded software; systems; validation</x:v>
      </x:c>
      <x:c r="E25" s="44" t="str">
        <x:v>Palo Alto/Fremont, CA; Austin, TX; other sites</x:v>
      </x:c>
      <x:c r="F25" s="44" t="str">
        <x:v>Medium</x:v>
      </x:c>
      <x:c r="G25" s="44" t="str">
        <x:v>High</x:v>
      </x:c>
      <x:c r="H25" s="44" t="str">
        <x:v>In-house engineering route; roles can be software-heavy</x:v>
      </x:c>
      <x:c r="I25" s="44" t="str">
        <x:v>https://www.tesla.com/careers/search/</x:v>
      </x:c>
      <x:c r="J25" s="44" t="str">
        <x:v>https://www.tesla.com/</x:v>
      </x:c>
      <x:c r="K25" s="44" t="str">
        <x:v>Target employer; search current roles</x:v>
      </x:c>
      <x:c r="L25" s="44" t="str">
        <x:v>2026-08-01</x:v>
      </x:c>
      <x:c r="M25" s="44" t="str">
        <x:v>Not started</x:v>
      </x:c>
      <x:c r="N25" s="44" t="str"/>
      <x:c r="O25" s="44" t="str">
        <x:v>Review careers page</x:v>
      </x:c>
      <x:c r="P25" s="44" t="str"/>
    </x:row>
    <x:row r="26">
      <x:c r="A26" s="44" t="str">
        <x:v>DSP / audio software / silicon</x:v>
      </x:c>
      <x:c r="B26" s="44" t="str">
        <x:v>DSP Concepts</x:v>
      </x:c>
      <x:c r="C26" s="44" t="str">
        <x:v>Audio Weaver embedded-audio platform and automotive tuning/processing</x:v>
      </x:c>
      <x:c r="D26" s="44" t="str">
        <x:v>Audio DSP; applications; solutions; validation; customer engineering</x:v>
      </x:c>
      <x:c r="E26" s="44" t="str">
        <x:v>Santa Clara, CA; Boston area; remote possibilities vary</x:v>
      </x:c>
      <x:c r="F26" s="44" t="str">
        <x:v>Low</x:v>
      </x:c>
      <x:c r="G26" s="44" t="str">
        <x:v>Highest</x:v>
      </x:c>
      <x:c r="H26" s="44" t="str">
        <x:v>Direct connection to Jay Krusac’s advice and the target toolchain</x:v>
      </x:c>
      <x:c r="I26" s="44" t="str">
        <x:v>https://dspconcepts.com/careers</x:v>
      </x:c>
      <x:c r="J26" s="44" t="str">
        <x:v>https://dspconcepts.com/automotive</x:v>
      </x:c>
      <x:c r="K26" s="44" t="str">
        <x:v>Employer and automotive relevance verified</x:v>
      </x:c>
      <x:c r="L26" s="44" t="str">
        <x:v>2026-08-01</x:v>
      </x:c>
      <x:c r="M26" s="44" t="str">
        <x:v>Not started</x:v>
      </x:c>
      <x:c r="N26" s="44" t="str"/>
      <x:c r="O26" s="44" t="str">
        <x:v>Review careers page</x:v>
      </x:c>
      <x:c r="P26" s="44" t="str"/>
    </x:row>
    <x:row r="27">
      <x:c r="A27" s="44" t="str">
        <x:v>DSP / audio software / silicon</x:v>
      </x:c>
      <x:c r="B27" s="44" t="str">
        <x:v>Dirac</x:v>
      </x:c>
      <x:c r="C27" s="44" t="str">
        <x:v>Automotive sound optimization, room correction and active acoustics</x:v>
      </x:c>
      <x:c r="D27" s="44" t="str">
        <x:v>Audio DSP; algorithm; tuning; applications; research</x:v>
      </x:c>
      <x:c r="E27" s="44" t="str">
        <x:v>Sweden; Denmark; Germany; US arrangements vary</x:v>
      </x:c>
      <x:c r="F27" s="44" t="str">
        <x:v>Low</x:v>
      </x:c>
      <x:c r="G27" s="44" t="str">
        <x:v>High</x:v>
      </x:c>
      <x:c r="H27" s="44" t="str">
        <x:v>Pure audio-algorithm employer; geography is the main constraint</x:v>
      </x:c>
      <x:c r="I27" s="44" t="str">
        <x:v>https://www.dirac.com/about-us/work-at-dirac</x:v>
      </x:c>
      <x:c r="J27" s="44" t="str">
        <x:v>https://www.dirac.com/automotive</x:v>
      </x:c>
      <x:c r="K27" s="44" t="str">
        <x:v>Employer relevance verified</x:v>
      </x:c>
      <x:c r="L27" s="44" t="str">
        <x:v>2026-08-01</x:v>
      </x:c>
      <x:c r="M27" s="44" t="str">
        <x:v>Not started</x:v>
      </x:c>
      <x:c r="N27" s="44" t="str"/>
      <x:c r="O27" s="44" t="str">
        <x:v>Review careers page</x:v>
      </x:c>
      <x:c r="P27" s="44" t="str"/>
    </x:row>
    <x:row r="28">
      <x:c r="A28" s="44" t="str">
        <x:v>DSP / audio software / silicon</x:v>
      </x:c>
      <x:c r="B28" s="44" t="str">
        <x:v>Dolby Laboratories</x:v>
      </x:c>
      <x:c r="C28" s="44" t="str">
        <x:v>Dolby Atmos automotive ecosystem, rendering and audio technology</x:v>
      </x:c>
      <x:c r="D28" s="44" t="str">
        <x:v>Audio systems; content/format engineering; applications; solutions</x:v>
      </x:c>
      <x:c r="E28" s="44" t="str">
        <x:v>San Francisco, CA; other US sites</x:v>
      </x:c>
      <x:c r="F28" s="44" t="str">
        <x:v>Low</x:v>
      </x:c>
      <x:c r="G28" s="44" t="str">
        <x:v>High</x:v>
      </x:c>
      <x:c r="H28" s="44" t="str">
        <x:v>Connects immersive-production background to automotive playback systems</x:v>
      </x:c>
      <x:c r="I28" s="44" t="str">
        <x:v>https://careers.dolby.com/</x:v>
      </x:c>
      <x:c r="J28" s="44" t="str">
        <x:v>https://professional.dolby.com/automotive/</x:v>
      </x:c>
      <x:c r="K28" s="44" t="str">
        <x:v>Target employer; opening not verified</x:v>
      </x:c>
      <x:c r="L28" s="44" t="str">
        <x:v>2026-08-01</x:v>
      </x:c>
      <x:c r="M28" s="44" t="str">
        <x:v>Not started</x:v>
      </x:c>
      <x:c r="N28" s="44" t="str"/>
      <x:c r="O28" s="44" t="str">
        <x:v>Review careers page</x:v>
      </x:c>
      <x:c r="P28" s="44" t="str"/>
    </x:row>
    <x:row r="29">
      <x:c r="A29" s="44" t="str">
        <x:v>DSP / audio software / silicon</x:v>
      </x:c>
      <x:c r="B29" s="44" t="str">
        <x:v>BlackBerry QNX</x:v>
      </x:c>
      <x:c r="C29" s="44" t="str">
        <x:v>Automotive operating systems and digital-cockpit audio infrastructure</x:v>
      </x:c>
      <x:c r="D29" s="44" t="str">
        <x:v>Embedded software; middleware; systems; integration</x:v>
      </x:c>
      <x:c r="E29" s="44" t="str">
        <x:v>Ottawa; Waterloo; US/remote roles vary</x:v>
      </x:c>
      <x:c r="F29" s="44" t="str">
        <x:v>Low</x:v>
      </x:c>
      <x:c r="G29" s="44" t="str">
        <x:v>Medium</x:v>
      </x:c>
      <x:c r="H29" s="44" t="str">
        <x:v>Audio-adjacent embedded-platform path rather than tuning</x:v>
      </x:c>
      <x:c r="I29" s="44" t="str">
        <x:v>https://blackberry.qnx.com/en/company/careers</x:v>
      </x:c>
      <x:c r="J29" s="44" t="str">
        <x:v>https://blackberry.qnx.com/en/products/automotive</x:v>
      </x:c>
      <x:c r="K29" s="44" t="str">
        <x:v>Target employer; opening not verified</x:v>
      </x:c>
      <x:c r="L29" s="44" t="str">
        <x:v>2026-08-01</x:v>
      </x:c>
      <x:c r="M29" s="44" t="str">
        <x:v>Not started</x:v>
      </x:c>
      <x:c r="N29" s="44" t="str"/>
      <x:c r="O29" s="44" t="str">
        <x:v>Review careers page</x:v>
      </x:c>
      <x:c r="P29" s="44" t="str"/>
    </x:row>
    <x:row r="30">
      <x:c r="A30" s="44" t="str">
        <x:v>DSP / audio software / silicon</x:v>
      </x:c>
      <x:c r="B30" s="44" t="str">
        <x:v>Qualcomm</x:v>
      </x:c>
      <x:c r="C30" s="44" t="str">
        <x:v>Automotive SoCs, cockpit platforms, voice and audio processing</x:v>
      </x:c>
      <x:c r="D30" s="44" t="str">
        <x:v>DSP software; embedded systems; applications; validation</x:v>
      </x:c>
      <x:c r="E30" s="44" t="str">
        <x:v>San Diego, CA; multiple US semiconductor sites</x:v>
      </x:c>
      <x:c r="F30" s="44" t="str">
        <x:v>Low</x:v>
      </x:c>
      <x:c r="G30" s="44" t="str">
        <x:v>High</x:v>
      </x:c>
      <x:c r="H30" s="44" t="str">
        <x:v>Silicon/platform route for advanced DSP and embedded work</x:v>
      </x:c>
      <x:c r="I30" s="44" t="str">
        <x:v>https://www.qualcomm.com/company/careers</x:v>
      </x:c>
      <x:c r="J30" s="44" t="str">
        <x:v>https://www.qualcomm.com/products/automotive</x:v>
      </x:c>
      <x:c r="K30" s="44" t="str">
        <x:v>Target employer; opening not verified</x:v>
      </x:c>
      <x:c r="L30" s="44" t="str">
        <x:v>2026-08-01</x:v>
      </x:c>
      <x:c r="M30" s="44" t="str">
        <x:v>Not started</x:v>
      </x:c>
      <x:c r="N30" s="44" t="str"/>
      <x:c r="O30" s="44" t="str">
        <x:v>Review careers page</x:v>
      </x:c>
      <x:c r="P30" s="44" t="str"/>
    </x:row>
    <x:row r="31">
      <x:c r="A31" s="44" t="str">
        <x:v>DSP / audio software / silicon</x:v>
      </x:c>
      <x:c r="B31" s="44" t="str">
        <x:v>Analog Devices</x:v>
      </x:c>
      <x:c r="C31" s="44" t="str">
        <x:v>Automotive audio processors, A2B networking and signal-chain components</x:v>
      </x:c>
      <x:c r="D31" s="44" t="str">
        <x:v>Applications; DSP; systems; validation; hardware/software</x:v>
      </x:c>
      <x:c r="E31" s="44" t="str">
        <x:v>Wilmington, MA; San Jose, CA; multiple US sites</x:v>
      </x:c>
      <x:c r="F31" s="44" t="str">
        <x:v>Low</x:v>
      </x:c>
      <x:c r="G31" s="44" t="str">
        <x:v>High</x:v>
      </x:c>
      <x:c r="H31" s="44" t="str">
        <x:v>Strong bridge between audio DSP and electronics</x:v>
      </x:c>
      <x:c r="I31" s="44" t="str">
        <x:v>https://www.analog.com/en/careers.html</x:v>
      </x:c>
      <x:c r="J31" s="44" t="str">
        <x:v>https://www.analog.com/en/solutions/automotive.html</x:v>
      </x:c>
      <x:c r="K31" s="44" t="str">
        <x:v>Target employer; opening not verified</x:v>
      </x:c>
      <x:c r="L31" s="44" t="str">
        <x:v>2026-08-01</x:v>
      </x:c>
      <x:c r="M31" s="44" t="str">
        <x:v>Not started</x:v>
      </x:c>
      <x:c r="N31" s="44" t="str"/>
      <x:c r="O31" s="44" t="str">
        <x:v>Review careers page</x:v>
      </x:c>
      <x:c r="P31" s="44" t="str"/>
    </x:row>
    <x:row r="32">
      <x:c r="A32" s="44" t="str">
        <x:v>DSP / audio software / silicon</x:v>
      </x:c>
      <x:c r="B32" s="44" t="str">
        <x:v>NXP Semiconductors</x:v>
      </x:c>
      <x:c r="C32" s="44" t="str">
        <x:v>Automotive processors, infotainment, amplifiers and connectivity</x:v>
      </x:c>
      <x:c r="D32" s="44" t="str">
        <x:v>Applications; embedded DSP; validation; systems; software</x:v>
      </x:c>
      <x:c r="E32" s="44" t="str">
        <x:v>Austin, TX; other US semiconductor sites</x:v>
      </x:c>
      <x:c r="F32" s="44" t="str">
        <x:v>Medium</x:v>
      </x:c>
      <x:c r="G32" s="44" t="str">
        <x:v>High</x:v>
      </x:c>
      <x:c r="H32" s="44" t="str">
        <x:v>Good embedded/semiconductor route with automotive platform exposure</x:v>
      </x:c>
      <x:c r="I32" s="44" t="str">
        <x:v>https://www.nxp.com/company/about-nxp/careers:CAREERS</x:v>
      </x:c>
      <x:c r="J32" s="44" t="str">
        <x:v>https://www.nxp.com/applications/automotive:AUTOMOTIVE</x:v>
      </x:c>
      <x:c r="K32" s="44" t="str">
        <x:v>Target employer; opening not verified</x:v>
      </x:c>
      <x:c r="L32" s="44" t="str">
        <x:v>2026-08-01</x:v>
      </x:c>
      <x:c r="M32" s="44" t="str">
        <x:v>Not started</x:v>
      </x:c>
      <x:c r="N32" s="44" t="str"/>
      <x:c r="O32" s="44" t="str">
        <x:v>Review careers page</x:v>
      </x:c>
      <x:c r="P32" s="44" t="str"/>
    </x:row>
    <x:row r="33">
      <x:c r="A33" s="44" t="str">
        <x:v>DSP / audio software / silicon</x:v>
      </x:c>
      <x:c r="B33" s="44" t="str">
        <x:v>Texas Instruments</x:v>
      </x:c>
      <x:c r="C33" s="44" t="str">
        <x:v>Automotive audio amplifiers, DSPs, ADC/DAC and signal-chain devices</x:v>
      </x:c>
      <x:c r="D33" s="44" t="str">
        <x:v>Applications; validation; systems; product engineering</x:v>
      </x:c>
      <x:c r="E33" s="44" t="str">
        <x:v>Dallas, TX; multiple US sites</x:v>
      </x:c>
      <x:c r="F33" s="44" t="str">
        <x:v>Medium</x:v>
      </x:c>
      <x:c r="G33" s="44" t="str">
        <x:v>High</x:v>
      </x:c>
      <x:c r="H33" s="44" t="str">
        <x:v>Strong technical foundation for audio electronics and applications work</x:v>
      </x:c>
      <x:c r="I33" s="44" t="str">
        <x:v>https://careers.ti.com/</x:v>
      </x:c>
      <x:c r="J33" s="44" t="str">
        <x:v>https://www.ti.com/automotive/overview.html</x:v>
      </x:c>
      <x:c r="K33" s="44" t="str">
        <x:v>Target employer; opening not verified</x:v>
      </x:c>
      <x:c r="L33" s="44" t="str">
        <x:v>2026-08-01</x:v>
      </x:c>
      <x:c r="M33" s="44" t="str">
        <x:v>Not started</x:v>
      </x:c>
      <x:c r="N33" s="44" t="str"/>
      <x:c r="O33" s="44" t="str">
        <x:v>Review careers page</x:v>
      </x:c>
      <x:c r="P33" s="44" t="str"/>
    </x:row>
    <x:row r="34">
      <x:c r="A34" s="44" t="str">
        <x:v>Audio systems / components</x:v>
      </x:c>
      <x:c r="B34" s="44" t="str">
        <x:v>Bose Automotive</x:v>
      </x:c>
      <x:c r="C34" s="44" t="str">
        <x:v>OEM premium audio, SeatCentric audio and active sound management</x:v>
      </x:c>
      <x:c r="D34" s="44" t="str">
        <x:v>Acoustic systems; tuning; DSP; validation; research</x:v>
      </x:c>
      <x:c r="E34" s="44" t="str">
        <x:v>Massachusetts; Michigan/customer locations may vary</x:v>
      </x:c>
      <x:c r="F34" s="44" t="str">
        <x:v>Low</x:v>
      </x:c>
      <x:c r="G34" s="44" t="str">
        <x:v>Highest</x:v>
      </x:c>
      <x:c r="H34" s="44" t="str">
        <x:v>Direct premium automotive-audio employer with broad acoustic roles</x:v>
      </x:c>
      <x:c r="I34" s="44" t="str">
        <x:v>https://www.bose.com/careers</x:v>
      </x:c>
      <x:c r="J34" s="44" t="str">
        <x:v>https://automotive.bose.com/</x:v>
      </x:c>
      <x:c r="K34" s="44" t="str">
        <x:v>Automotive relevance verified</x:v>
      </x:c>
      <x:c r="L34" s="44" t="str">
        <x:v>2026-08-01</x:v>
      </x:c>
      <x:c r="M34" s="44" t="str">
        <x:v>Not started</x:v>
      </x:c>
      <x:c r="N34" s="44" t="str"/>
      <x:c r="O34" s="44" t="str">
        <x:v>Review careers page</x:v>
      </x:c>
      <x:c r="P34" s="44" t="str"/>
    </x:row>
    <x:row r="35">
      <x:c r="A35" s="44" t="str">
        <x:v>Audio systems / components</x:v>
      </x:c>
      <x:c r="B35" s="44" t="str">
        <x:v>Premium Sound Solutions (PSS)</x:v>
      </x:c>
      <x:c r="C35" s="44" t="str">
        <x:v>Automotive loudspeakers and sound-system solutions</x:v>
      </x:c>
      <x:c r="D35" s="44" t="str">
        <x:v>Transducer; acoustics; applications; validation; systems</x:v>
      </x:c>
      <x:c r="E35" s="44" t="str">
        <x:v>Michigan/customer-facing US roles vary; global engineering</x:v>
      </x:c>
      <x:c r="F35" s="44" t="str">
        <x:v>Low</x:v>
      </x:c>
      <x:c r="G35" s="44" t="str">
        <x:v>High</x:v>
      </x:c>
      <x:c r="H35" s="44" t="str">
        <x:v>Direct loudspeaker and OEM audio-system supplier</x:v>
      </x:c>
      <x:c r="I35" s="44" t="str">
        <x:v>https://www.premiumsoundsolutions.com/careers</x:v>
      </x:c>
      <x:c r="J35" s="44" t="str">
        <x:v>https://www.premiumsoundsolutions.com/</x:v>
      </x:c>
      <x:c r="K35" s="44" t="str">
        <x:v>Target employer; opening not verified</x:v>
      </x:c>
      <x:c r="L35" s="44" t="str">
        <x:v>2026-08-01</x:v>
      </x:c>
      <x:c r="M35" s="44" t="str">
        <x:v>Not started</x:v>
      </x:c>
      <x:c r="N35" s="44" t="str"/>
      <x:c r="O35" s="44" t="str">
        <x:v>Review careers page</x:v>
      </x:c>
      <x:c r="P35" s="44" t="str"/>
    </x:row>
    <x:row r="36">
      <x:c r="A36" s="44" t="str">
        <x:v>Audio systems / components</x:v>
      </x:c>
      <x:c r="B36" s="44" t="str">
        <x:v>Tymphany</x:v>
      </x:c>
      <x:c r="C36" s="44" t="str">
        <x:v>Loudspeaker drivers, transducers and audio-system engineering</x:v>
      </x:c>
      <x:c r="D36" s="44" t="str">
        <x:v>Transducer; acoustic design; applications; validation</x:v>
      </x:c>
      <x:c r="E36" s="44" t="str">
        <x:v>US/global locations vary</x:v>
      </x:c>
      <x:c r="F36" s="44" t="str">
        <x:v>Low</x:v>
      </x:c>
      <x:c r="G36" s="44" t="str">
        <x:v>Medium</x:v>
      </x:c>
      <x:c r="H36" s="44" t="str">
        <x:v>Relevant for loudspeaker engineering and acoustic components</x:v>
      </x:c>
      <x:c r="I36" s="44" t="str">
        <x:v>https://www.tymphany.com/careers/</x:v>
      </x:c>
      <x:c r="J36" s="44" t="str">
        <x:v>https://www.tymphany.com/</x:v>
      </x:c>
      <x:c r="K36" s="44" t="str">
        <x:v>Target employer; opening not verified</x:v>
      </x:c>
      <x:c r="L36" s="44" t="str">
        <x:v>2026-08-01</x:v>
      </x:c>
      <x:c r="M36" s="44" t="str">
        <x:v>Not started</x:v>
      </x:c>
      <x:c r="N36" s="44" t="str"/>
      <x:c r="O36" s="44" t="str">
        <x:v>Review careers page</x:v>
      </x:c>
      <x:c r="P36" s="44" t="str"/>
    </x:row>
    <x:row r="37">
      <x:c r="A37" s="44" t="str">
        <x:v>Audio systems / components</x:v>
      </x:c>
      <x:c r="B37" s="44" t="str">
        <x:v>Foster Electric</x:v>
      </x:c>
      <x:c r="C37" s="44" t="str">
        <x:v>Automotive loudspeakers and acoustic components</x:v>
      </x:c>
      <x:c r="D37" s="44" t="str">
        <x:v>Transducer; acoustic engineering; quality; applications</x:v>
      </x:c>
      <x:c r="E37" s="44" t="str">
        <x:v>North American/customer sites vary</x:v>
      </x:c>
      <x:c r="F37" s="44" t="str">
        <x:v>Low</x:v>
      </x:c>
      <x:c r="G37" s="44" t="str">
        <x:v>Medium</x:v>
      </x:c>
      <x:c r="H37" s="44" t="str">
        <x:v>Direct component supplier; verify US engineering openings carefully</x:v>
      </x:c>
      <x:c r="I37" s="44" t="str">
        <x:v>https://www.foster-electric.com/careers/</x:v>
      </x:c>
      <x:c r="J37" s="44" t="str">
        <x:v>https://www.foster-electric.com/</x:v>
      </x:c>
      <x:c r="K37" s="44" t="str">
        <x:v>Target employer; opening not verified</x:v>
      </x:c>
      <x:c r="L37" s="44" t="str">
        <x:v>2026-08-01</x:v>
      </x:c>
      <x:c r="M37" s="44" t="str">
        <x:v>Not started</x:v>
      </x:c>
      <x:c r="N37" s="44" t="str"/>
      <x:c r="O37" s="44" t="str">
        <x:v>Review careers page</x:v>
      </x:c>
      <x:c r="P37" s="44" t="str"/>
    </x:row>
    <x:row r="38">
      <x:c r="A38" s="44" t="str">
        <x:v>Audio systems / components</x:v>
      </x:c>
      <x:c r="B38" s="44" t="str">
        <x:v>AAC Technologies</x:v>
      </x:c>
      <x:c r="C38" s="44" t="str">
        <x:v>Speakers, microphones, haptics and acoustic components</x:v>
      </x:c>
      <x:c r="D38" s="44" t="str">
        <x:v>Acoustics; transducers; applications; validation</x:v>
      </x:c>
      <x:c r="E38" s="44" t="str">
        <x:v>US roles vary; major global footprint</x:v>
      </x:c>
      <x:c r="F38" s="44" t="str">
        <x:v>Low</x:v>
      </x:c>
      <x:c r="G38" s="44" t="str">
        <x:v>Medium</x:v>
      </x:c>
      <x:c r="H38" s="44" t="str">
        <x:v>Component-level path spanning microphones and speakers</x:v>
      </x:c>
      <x:c r="I38" s="44" t="str">
        <x:v>https://www.aactechnologies.com/en/careers</x:v>
      </x:c>
      <x:c r="J38" s="44" t="str">
        <x:v>https://www.aactechnologies.com/en</x:v>
      </x:c>
      <x:c r="K38" s="44" t="str">
        <x:v>Target employer; opening not verified</x:v>
      </x:c>
      <x:c r="L38" s="44" t="str">
        <x:v>2026-08-01</x:v>
      </x:c>
      <x:c r="M38" s="44" t="str">
        <x:v>Not started</x:v>
      </x:c>
      <x:c r="N38" s="44" t="str"/>
      <x:c r="O38" s="44" t="str">
        <x:v>Review careers page</x:v>
      </x:c>
      <x:c r="P38" s="44" t="str"/>
    </x:row>
    <x:row r="39">
      <x:c r="A39" s="44" t="str">
        <x:v>Audio systems / components</x:v>
      </x:c>
      <x:c r="B39" s="44" t="str">
        <x:v>Sonavox</x:v>
      </x:c>
      <x:c r="C39" s="44" t="str">
        <x:v>Automotive loudspeakers and acoustic systems</x:v>
      </x:c>
      <x:c r="D39" s="44" t="str">
        <x:v>Transducer; acoustics; systems; quality</x:v>
      </x:c>
      <x:c r="E39" s="44" t="str">
        <x:v>North American and global sites vary</x:v>
      </x:c>
      <x:c r="F39" s="44" t="str">
        <x:v>Low</x:v>
      </x:c>
      <x:c r="G39" s="44" t="str">
        <x:v>Medium</x:v>
      </x:c>
      <x:c r="H39" s="44" t="str">
        <x:v>Direct automotive loudspeaker supplier; location may be limiting</x:v>
      </x:c>
      <x:c r="I39" s="44" t="str">
        <x:v>https://www.sonavox.com/</x:v>
      </x:c>
      <x:c r="J39" s="44" t="str">
        <x:v>https://www.sonavox.com/</x:v>
      </x:c>
      <x:c r="K39" s="44" t="str">
        <x:v>Research contact/careers route</x:v>
      </x:c>
      <x:c r="L39" s="44" t="str">
        <x:v>2026-08-01</x:v>
      </x:c>
      <x:c r="M39" s="44" t="str">
        <x:v>Not started</x:v>
      </x:c>
      <x:c r="N39" s="44" t="str"/>
      <x:c r="O39" s="44" t="str">
        <x:v>Review careers page</x:v>
      </x:c>
      <x:c r="P39" s="44" t="str"/>
    </x:row>
    <x:row r="40">
      <x:c r="A40" s="44" t="str">
        <x:v>Measurement / NVH / validation</x:v>
      </x:c>
      <x:c r="B40" s="44" t="str">
        <x:v>HEAD acoustics</x:v>
      </x:c>
      <x:c r="C40" s="44" t="str">
        <x:v>Binaural measurement, jury testing, vehicle acoustics, NVH and analysis software</x:v>
      </x:c>
      <x:c r="D40" s="44" t="str">
        <x:v>Acoustic applications; measurement; NVH; software; consulting</x:v>
      </x:c>
      <x:c r="E40" s="44" t="str">
        <x:v>Brighton, MI (HEAD acoustics, Inc.); Germany and global sites</x:v>
      </x:c>
      <x:c r="F40" s="44" t="str">
        <x:v>Low</x:v>
      </x:c>
      <x:c r="G40" s="44" t="str">
        <x:v>Highest</x:v>
      </x:c>
      <x:c r="H40" s="44" t="str">
        <x:v>Excellent match for critical listening plus measurement development</x:v>
      </x:c>
      <x:c r="I40" s="44" t="str">
        <x:v>https://www.head-acoustics.com/career/</x:v>
      </x:c>
      <x:c r="J40" s="44" t="str">
        <x:v>https://www.head-acoustics.com/</x:v>
      </x:c>
      <x:c r="K40" s="44" t="str">
        <x:v>Employer and technical scope verified</x:v>
      </x:c>
      <x:c r="L40" s="44" t="str">
        <x:v>2026-08-01</x:v>
      </x:c>
      <x:c r="M40" s="44" t="str">
        <x:v>Not started</x:v>
      </x:c>
      <x:c r="N40" s="44" t="str"/>
      <x:c r="O40" s="44" t="str">
        <x:v>Review careers page</x:v>
      </x:c>
      <x:c r="P40" s="44" t="str"/>
    </x:row>
    <x:row r="41">
      <x:c r="A41" s="44" t="str">
        <x:v>Measurement / NVH / validation</x:v>
      </x:c>
      <x:c r="B41" s="44" t="str">
        <x:v>HBK (Brüel &amp; Kjær / Hottinger Brüel &amp; Kjær)</x:v>
      </x:c>
      <x:c r="C41" s="44" t="str">
        <x:v>Sound and vibration measurement, NVH testing and analysis</x:v>
      </x:c>
      <x:c r="D41" s="44" t="str">
        <x:v>Applications; NVH; test; systems; technical sales/support</x:v>
      </x:c>
      <x:c r="E41" s="44" t="str">
        <x:v>Multiple US sites; verify current role location</x:v>
      </x:c>
      <x:c r="F41" s="44" t="str">
        <x:v>Low</x:v>
      </x:c>
      <x:c r="G41" s="44" t="str">
        <x:v>High</x:v>
      </x:c>
      <x:c r="H41" s="44" t="str">
        <x:v>Core instrumentation and vehicle-NVH employer</x:v>
      </x:c>
      <x:c r="I41" s="44" t="str">
        <x:v>https://www.hbkworld.com/en/about/careers</x:v>
      </x:c>
      <x:c r="J41" s="44" t="str">
        <x:v>https://www.hbkworld.com/en/solutions/industries/automotive</x:v>
      </x:c>
      <x:c r="K41" s="44" t="str">
        <x:v>Target employer; opening not verified</x:v>
      </x:c>
      <x:c r="L41" s="44" t="str">
        <x:v>2026-08-01</x:v>
      </x:c>
      <x:c r="M41" s="44" t="str">
        <x:v>Not started</x:v>
      </x:c>
      <x:c r="N41" s="44" t="str"/>
      <x:c r="O41" s="44" t="str">
        <x:v>Review careers page</x:v>
      </x:c>
      <x:c r="P41" s="44" t="str"/>
    </x:row>
    <x:row r="42">
      <x:c r="A42" s="44" t="str">
        <x:v>Measurement / NVH / validation</x:v>
      </x:c>
      <x:c r="B42" s="44" t="str">
        <x:v>Audio Precision</x:v>
      </x:c>
      <x:c r="C42" s="44" t="str">
        <x:v>Audio analyzers, electroacoustic testing and measurement software</x:v>
      </x:c>
      <x:c r="D42" s="44" t="str">
        <x:v>Applications; test; validation; software; product engineering</x:v>
      </x:c>
      <x:c r="E42" s="44" t="str">
        <x:v>Beaverton, OR</x:v>
      </x:c>
      <x:c r="F42" s="44" t="str">
        <x:v>Low</x:v>
      </x:c>
      <x:c r="G42" s="44" t="str">
        <x:v>High</x:v>
      </x:c>
      <x:c r="H42" s="44" t="str">
        <x:v>Direct continuation of prior Audio Precision validation experience</x:v>
      </x:c>
      <x:c r="I42" s="44" t="str">
        <x:v>https://www.ap.com/company/careers/</x:v>
      </x:c>
      <x:c r="J42" s="44" t="str">
        <x:v>https://www.ap.com/</x:v>
      </x:c>
      <x:c r="K42" s="44" t="str">
        <x:v>Target employer; opening not verified</x:v>
      </x:c>
      <x:c r="L42" s="44" t="str">
        <x:v>2026-08-01</x:v>
      </x:c>
      <x:c r="M42" s="44" t="str">
        <x:v>Not started</x:v>
      </x:c>
      <x:c r="N42" s="44" t="str"/>
      <x:c r="O42" s="44" t="str">
        <x:v>Review careers page</x:v>
      </x:c>
      <x:c r="P42" s="44" t="str"/>
    </x:row>
    <x:row r="43">
      <x:c r="A43" s="44" t="str">
        <x:v>Measurement / NVH / validation</x:v>
      </x:c>
      <x:c r="B43" s="44" t="str">
        <x:v>GRAS Sound &amp; Vibration</x:v>
      </x:c>
      <x:c r="C43" s="44" t="str">
        <x:v>Measurement microphones, artificial ears and acoustic test systems</x:v>
      </x:c>
      <x:c r="D43" s="44" t="str">
        <x:v>Applications; calibration; acoustic test; product engineering</x:v>
      </x:c>
      <x:c r="E43" s="44" t="str">
        <x:v>US sales/application presence; Denmark engineering</x:v>
      </x:c>
      <x:c r="F43" s="44" t="str">
        <x:v>Low</x:v>
      </x:c>
      <x:c r="G43" s="44" t="str">
        <x:v>Medium</x:v>
      </x:c>
      <x:c r="H43" s="44" t="str">
        <x:v>Relevant to vehicle measurement microphone and calibration questions</x:v>
      </x:c>
      <x:c r="I43" s="44" t="str">
        <x:v>https://www.grasacoustics.com/about-gras/career</x:v>
      </x:c>
      <x:c r="J43" s="44" t="str">
        <x:v>https://www.grasacoustics.com/</x:v>
      </x:c>
      <x:c r="K43" s="44" t="str">
        <x:v>Target employer; opening not verified</x:v>
      </x:c>
      <x:c r="L43" s="44" t="str">
        <x:v>2026-08-01</x:v>
      </x:c>
      <x:c r="M43" s="44" t="str">
        <x:v>Not started</x:v>
      </x:c>
      <x:c r="N43" s="44" t="str"/>
      <x:c r="O43" s="44" t="str">
        <x:v>Review careers page</x:v>
      </x:c>
      <x:c r="P43" s="44" t="str"/>
    </x:row>
    <x:row r="44">
      <x:c r="A44" s="44" t="str">
        <x:v>Measurement / NVH / validation</x:v>
      </x:c>
      <x:c r="B44" s="44" t="str">
        <x:v>Klippel</x:v>
      </x:c>
      <x:c r="C44" s="44" t="str">
        <x:v>Loudspeaker and audio-system measurement and diagnostics</x:v>
      </x:c>
      <x:c r="D44" s="44" t="str">
        <x:v>Applications; electroacoustics; measurement; software</x:v>
      </x:c>
      <x:c r="E44" s="44" t="str">
        <x:v>Germany; international/customer-facing roles vary</x:v>
      </x:c>
      <x:c r="F44" s="44" t="str">
        <x:v>Low</x:v>
      </x:c>
      <x:c r="G44" s="44" t="str">
        <x:v>Medium</x:v>
      </x:c>
      <x:c r="H44" s="44" t="str">
        <x:v>High-value technical target despite limited US geography</x:v>
      </x:c>
      <x:c r="I44" s="44" t="str">
        <x:v>https://www.klippel.de/company/jobs.html</x:v>
      </x:c>
      <x:c r="J44" s="44" t="str">
        <x:v>https://www.klippel.de/</x:v>
      </x:c>
      <x:c r="K44" s="44" t="str">
        <x:v>Target employer; opening not verified</x:v>
      </x:c>
      <x:c r="L44" s="44" t="str">
        <x:v>2026-08-01</x:v>
      </x:c>
      <x:c r="M44" s="44" t="str">
        <x:v>Not started</x:v>
      </x:c>
      <x:c r="N44" s="44" t="str"/>
      <x:c r="O44" s="44" t="str">
        <x:v>Review careers page</x:v>
      </x:c>
      <x:c r="P44" s="44" t="str"/>
    </x:row>
    <x:row r="45">
      <x:c r="A45" s="44" t="str">
        <x:v>Measurement / NVH / validation</x:v>
      </x:c>
      <x:c r="B45" s="44" t="str">
        <x:v>Siemens Digital Industries Software / Simcenter</x:v>
      </x:c>
      <x:c r="C45" s="44" t="str">
        <x:v>Vehicle acoustics, NVH simulation, testing and engineering software</x:v>
      </x:c>
      <x:c r="D45" s="44" t="str">
        <x:v>Application engineering; NVH; simulation; technical consulting</x:v>
      </x:c>
      <x:c r="E45" s="44" t="str">
        <x:v>Multiple US sites</x:v>
      </x:c>
      <x:c r="F45" s="44" t="str">
        <x:v>Medium</x:v>
      </x:c>
      <x:c r="G45" s="44" t="str">
        <x:v>High</x:v>
      </x:c>
      <x:c r="H45" s="44" t="str">
        <x:v>Combines acoustics, software and consulting-oriented work</x:v>
      </x:c>
      <x:c r="I45" s="44" t="str">
        <x:v>https://jobs.siemens.com/careers</x:v>
      </x:c>
      <x:c r="J45" s="44" t="str">
        <x:v>https://plm.sw.siemens.com/en-US/simcenter/mechanical-simulation/acoustics/</x:v>
      </x:c>
      <x:c r="K45" s="44" t="str">
        <x:v>Target employer; opening not verified</x:v>
      </x:c>
      <x:c r="L45" s="44" t="str">
        <x:v>2026-08-01</x:v>
      </x:c>
      <x:c r="M45" s="44" t="str">
        <x:v>Not started</x:v>
      </x:c>
      <x:c r="N45" s="44" t="str"/>
      <x:c r="O45" s="44" t="str">
        <x:v>Review careers page</x:v>
      </x:c>
      <x:c r="P45" s="44" t="str"/>
    </x:row>
    <x:row r="46">
      <x:c r="A46" s="44" t="str">
        <x:v>Engineering services / consulting</x:v>
      </x:c>
      <x:c r="B46" s="44" t="str">
        <x:v>FEV North America</x:v>
      </x:c>
      <x:c r="C46" s="44" t="str">
        <x:v>Vehicle development, infotainment, acoustics/NVH and validation services</x:v>
      </x:c>
      <x:c r="D46" s="44" t="str">
        <x:v>Systems; NVH; test; validation; embedded software</x:v>
      </x:c>
      <x:c r="E46" s="44" t="str">
        <x:v>Auburn Hills, MI and other US sites</x:v>
      </x:c>
      <x:c r="F46" s="44" t="str">
        <x:v>Low</x:v>
      </x:c>
      <x:c r="G46" s="44" t="str">
        <x:v>High</x:v>
      </x:c>
      <x:c r="H46" s="44" t="str">
        <x:v>Consulting route into multiple OEM programs</x:v>
      </x:c>
      <x:c r="I46" s="44" t="str">
        <x:v>https://www.fev.com/en/career/</x:v>
      </x:c>
      <x:c r="J46" s="44" t="str">
        <x:v>https://www.fev.com/en/</x:v>
      </x:c>
      <x:c r="K46" s="44" t="str">
        <x:v>Target employer; opening not verified</x:v>
      </x:c>
      <x:c r="L46" s="44" t="str">
        <x:v>2026-08-01</x:v>
      </x:c>
      <x:c r="M46" s="44" t="str">
        <x:v>Not started</x:v>
      </x:c>
      <x:c r="N46" s="44" t="str"/>
      <x:c r="O46" s="44" t="str">
        <x:v>Review careers page</x:v>
      </x:c>
      <x:c r="P46" s="44" t="str"/>
    </x:row>
    <x:row r="47">
      <x:c r="A47" s="44" t="str">
        <x:v>Engineering services / consulting</x:v>
      </x:c>
      <x:c r="B47" s="44" t="str">
        <x:v>AVL North America</x:v>
      </x:c>
      <x:c r="C47" s="44" t="str">
        <x:v>Vehicle engineering, testing, simulation and sound/NVH</x:v>
      </x:c>
      <x:c r="D47" s="44" t="str">
        <x:v>NVH; test systems; validation; applications; consulting</x:v>
      </x:c>
      <x:c r="E47" s="44" t="str">
        <x:v>Plymouth, MI and other US sites</x:v>
      </x:c>
      <x:c r="F47" s="44" t="str">
        <x:v>Low</x:v>
      </x:c>
      <x:c r="G47" s="44" t="str">
        <x:v>High</x:v>
      </x:c>
      <x:c r="H47" s="44" t="str">
        <x:v>Strong vehicle-test and consulting bridge</x:v>
      </x:c>
      <x:c r="I47" s="44" t="str">
        <x:v>https://jobs.avl.com/</x:v>
      </x:c>
      <x:c r="J47" s="44" t="str">
        <x:v>https://www.avl.com/en-us</x:v>
      </x:c>
      <x:c r="K47" s="44" t="str">
        <x:v>Target employer; opening not verified</x:v>
      </x:c>
      <x:c r="L47" s="44" t="str">
        <x:v>2026-08-01</x:v>
      </x:c>
      <x:c r="M47" s="44" t="str">
        <x:v>Not started</x:v>
      </x:c>
      <x:c r="N47" s="44" t="str"/>
      <x:c r="O47" s="44" t="str">
        <x:v>Review careers page</x:v>
      </x:c>
      <x:c r="P47" s="44" t="str"/>
    </x:row>
    <x:row r="48">
      <x:c r="A48" s="44" t="str">
        <x:v>Engineering services / consulting</x:v>
      </x:c>
      <x:c r="B48" s="44" t="str">
        <x:v>EDAG</x:v>
      </x:c>
      <x:c r="C48" s="44" t="str">
        <x:v>Automotive product development, electrical/electronic and validation services</x:v>
      </x:c>
      <x:c r="D48" s="44" t="str">
        <x:v>Systems; E/E; test; validation; program engineering</x:v>
      </x:c>
      <x:c r="E48" s="44" t="str">
        <x:v>Troy, MI and other US sites</x:v>
      </x:c>
      <x:c r="F48" s="44" t="str">
        <x:v>Low</x:v>
      </x:c>
      <x:c r="G48" s="44" t="str">
        <x:v>Medium</x:v>
      </x:c>
      <x:c r="H48" s="44" t="str">
        <x:v>Broad engineering-services entry route; filter for cockpit/audio work</x:v>
      </x:c>
      <x:c r="I48" s="44" t="str">
        <x:v>https://www.edag.com/en/career</x:v>
      </x:c>
      <x:c r="J48" s="44" t="str">
        <x:v>https://www.edag.com/</x:v>
      </x:c>
      <x:c r="K48" s="44" t="str">
        <x:v>Target employer; opening not verified</x:v>
      </x:c>
      <x:c r="L48" s="44" t="str">
        <x:v>2026-08-01</x:v>
      </x:c>
      <x:c r="M48" s="44" t="str">
        <x:v>Not started</x:v>
      </x:c>
      <x:c r="N48" s="44" t="str"/>
      <x:c r="O48" s="44" t="str">
        <x:v>Review careers page</x:v>
      </x:c>
      <x:c r="P48" s="44" t="str"/>
    </x:row>
    <x:row r="49">
      <x:c r="A49" s="44" t="str">
        <x:v>Engineering services / consulting</x:v>
      </x:c>
      <x:c r="B49" s="44" t="str">
        <x:v>Bertrandt</x:v>
      </x:c>
      <x:c r="C49" s="44" t="str">
        <x:v>Automotive engineering services including electronics, software and testing</x:v>
      </x:c>
      <x:c r="D49" s="44" t="str">
        <x:v>Systems; test; embedded software; validation</x:v>
      </x:c>
      <x:c r="E49" s="44" t="str">
        <x:v>Detroit-area and other US customer sites</x:v>
      </x:c>
      <x:c r="F49" s="44" t="str">
        <x:v>Low</x:v>
      </x:c>
      <x:c r="G49" s="44" t="str">
        <x:v>Medium</x:v>
      </x:c>
      <x:c r="H49" s="44" t="str">
        <x:v>Contract/consulting path into OEM and supplier programs</x:v>
      </x:c>
      <x:c r="I49" s="44" t="str">
        <x:v>https://www.bertrandt.com/en/career</x:v>
      </x:c>
      <x:c r="J49" s="44" t="str">
        <x:v>https://www.bertrandt.com/en/</x:v>
      </x:c>
      <x:c r="K49" s="44" t="str">
        <x:v>Target employer; opening not verified</x:v>
      </x:c>
      <x:c r="L49" s="44" t="str">
        <x:v>2026-08-01</x:v>
      </x:c>
      <x:c r="M49" s="44" t="str">
        <x:v>Not started</x:v>
      </x:c>
      <x:c r="N49" s="44" t="str"/>
      <x:c r="O49" s="44" t="str">
        <x:v>Review careers page</x:v>
      </x:c>
      <x:c r="P49" s="44" t="str"/>
    </x:row>
    <x:row r="50">
      <x:c r="A50" s="44" t="str">
        <x:v>Engineering services / consulting</x:v>
      </x:c>
      <x:c r="B50" s="44" t="str">
        <x:v>Tata Elxsi</x:v>
      </x:c>
      <x:c r="C50" s="44" t="str">
        <x:v>Automotive software, cockpit, infotainment and HMI engineering</x:v>
      </x:c>
      <x:c r="D50" s="44" t="str">
        <x:v>Embedded software; IVI; testing; systems; UX</x:v>
      </x:c>
      <x:c r="E50" s="44" t="str">
        <x:v>US customer sites; global delivery centers</x:v>
      </x:c>
      <x:c r="F50" s="44" t="str">
        <x:v>Low</x:v>
      </x:c>
      <x:c r="G50" s="44" t="str">
        <x:v>Medium</x:v>
      </x:c>
      <x:c r="H50" s="44" t="str">
        <x:v>Software-forward route into cockpit/infotainment programs</x:v>
      </x:c>
      <x:c r="I50" s="44" t="str">
        <x:v>https://www.tataelxsi.com/careers</x:v>
      </x:c>
      <x:c r="J50" s="44" t="str">
        <x:v>https://www.tataelxsi.com/industries/automotive</x:v>
      </x:c>
      <x:c r="K50" s="44" t="str">
        <x:v>Target employer; opening not verified</x:v>
      </x:c>
      <x:c r="L50" s="44" t="str">
        <x:v>2026-08-01</x:v>
      </x:c>
      <x:c r="M50" s="44" t="str">
        <x:v>Not started</x:v>
      </x:c>
      <x:c r="N50" s="44" t="str"/>
      <x:c r="O50" s="44" t="str">
        <x:v>Review careers page</x:v>
      </x:c>
      <x:c r="P50" s="44" t="str"/>
    </x:row>
    <x:row r="51">
      <x:c r="A51" s="44" t="str">
        <x:v>Aftermarket / specialty audio</x:v>
      </x:c>
      <x:c r="B51" s="44" t="str">
        <x:v>JL Audio / Garmin</x:v>
      </x:c>
      <x:c r="C51" s="44" t="str">
        <x:v>Car-audio amplifiers, DSP, speakers and system development</x:v>
      </x:c>
      <x:c r="D51" s="44" t="str">
        <x:v>Audio product; DSP; applications; acoustic/electrical test</x:v>
      </x:c>
      <x:c r="E51" s="44" t="str">
        <x:v>Miramar, FL; Olathe, KS and other Garmin sites</x:v>
      </x:c>
      <x:c r="F51" s="44" t="str">
        <x:v>High</x:v>
      </x:c>
      <x:c r="G51" s="44" t="str">
        <x:v>High</x:v>
      </x:c>
      <x:c r="H51" s="44" t="str">
        <x:v>Strong Southeast-accessible specialty-audio target</x:v>
      </x:c>
      <x:c r="I51" s="44" t="str">
        <x:v>https://careers.garmin.com/</x:v>
      </x:c>
      <x:c r="J51" s="44" t="str">
        <x:v>https://www.jlaudio.com/</x:v>
      </x:c>
      <x:c r="K51" s="44" t="str">
        <x:v>Target employer; search Garmin/JL Audio roles</x:v>
      </x:c>
      <x:c r="L51" s="44" t="str">
        <x:v>2026-08-01</x:v>
      </x:c>
      <x:c r="M51" s="44" t="str">
        <x:v>Not started</x:v>
      </x:c>
      <x:c r="N51" s="44" t="str"/>
      <x:c r="O51" s="44" t="str">
        <x:v>Review careers page</x:v>
      </x:c>
      <x:c r="P51" s="44" t="str"/>
    </x:row>
    <x:row r="52">
      <x:c r="A52" s="44" t="str">
        <x:v>Aftermarket / specialty audio</x:v>
      </x:c>
      <x:c r="B52" s="44" t="str">
        <x:v>Stillwater Designs / KICKER</x:v>
      </x:c>
      <x:c r="C52" s="44" t="str">
        <x:v>Mobile-audio speakers, amplifiers, DSP and demo vehicles</x:v>
      </x:c>
      <x:c r="D52" s="44" t="str">
        <x:v>Product engineering; applications; tuning; test; training</x:v>
      </x:c>
      <x:c r="E52" s="44" t="str">
        <x:v>Stillwater, OK</x:v>
      </x:c>
      <x:c r="F52" s="44" t="str">
        <x:v>Medium</x:v>
      </x:c>
      <x:c r="G52" s="44" t="str">
        <x:v>High</x:v>
      </x:c>
      <x:c r="H52" s="44" t="str">
        <x:v>Direct match for demo-vehicle, tuning and product interests</x:v>
      </x:c>
      <x:c r="I52" s="44" t="str">
        <x:v>https://www.kicker.com/careers</x:v>
      </x:c>
      <x:c r="J52" s="44" t="str">
        <x:v>https://www.kicker.com/</x:v>
      </x:c>
      <x:c r="K52" s="44" t="str">
        <x:v>Target employer; opening not verified</x:v>
      </x:c>
      <x:c r="L52" s="44" t="str">
        <x:v>2026-08-01</x:v>
      </x:c>
      <x:c r="M52" s="44" t="str">
        <x:v>Not started</x:v>
      </x:c>
      <x:c r="N52" s="44" t="str"/>
      <x:c r="O52" s="44" t="str">
        <x:v>Review careers page</x:v>
      </x:c>
      <x:c r="P52" s="44" t="str"/>
    </x:row>
    <x:row r="53">
      <x:c r="A53" s="44" t="str">
        <x:v>Aftermarket / specialty audio</x:v>
      </x:c>
      <x:c r="B53" s="44" t="str">
        <x:v>Rockford Fosgate</x:v>
      </x:c>
      <x:c r="C53" s="44" t="str">
        <x:v>Mobile-audio systems, amplifiers, speakers and OEM/specialty integration</x:v>
      </x:c>
      <x:c r="D53" s="44" t="str">
        <x:v>Product; applications; DSP; acoustic/electrical test</x:v>
      </x:c>
      <x:c r="E53" s="44" t="str">
        <x:v>Tempe, AZ</x:v>
      </x:c>
      <x:c r="F53" s="44" t="str">
        <x:v>Low</x:v>
      </x:c>
      <x:c r="G53" s="44" t="str">
        <x:v>High</x:v>
      </x:c>
      <x:c r="H53" s="44" t="str">
        <x:v>Direct car-audio product and system-development target</x:v>
      </x:c>
      <x:c r="I53" s="44" t="str">
        <x:v>https://rockfordfosgate.com/company/careers/</x:v>
      </x:c>
      <x:c r="J53" s="44" t="str">
        <x:v>https://rockfordfosgate.com/</x:v>
      </x:c>
      <x:c r="K53" s="44" t="str">
        <x:v>Target employer; opening not verified</x:v>
      </x:c>
      <x:c r="L53" s="44" t="str">
        <x:v>2026-08-01</x:v>
      </x:c>
      <x:c r="M53" s="44" t="str">
        <x:v>Not started</x:v>
      </x:c>
      <x:c r="N53" s="44" t="str"/>
      <x:c r="O53" s="44" t="str">
        <x:v>Review careers page</x:v>
      </x:c>
      <x:c r="P53" s="44" t="str"/>
    </x:row>
    <x:row r="54">
      <x:c r="A54" s="44" t="str">
        <x:v>Aftermarket / specialty audio</x:v>
      </x:c>
      <x:c r="B54" s="44" t="str">
        <x:v>Sony Electronics / Automotive</x:v>
      </x:c>
      <x:c r="C54" s="44" t="str">
        <x:v>Automotive entertainment, speakers, amplifiers and media systems</x:v>
      </x:c>
      <x:c r="D54" s="44" t="str">
        <x:v>Product; applications; validation; systems; embedded software</x:v>
      </x:c>
      <x:c r="E54" s="44" t="str">
        <x:v>Multiple US sites; automotive roles vary</x:v>
      </x:c>
      <x:c r="F54" s="44" t="str">
        <x:v>Low</x:v>
      </x:c>
      <x:c r="G54" s="44" t="str">
        <x:v>Medium</x:v>
      </x:c>
      <x:c r="H54" s="44" t="str">
        <x:v>Recognizable audio employer; distinguish consumer, aftermarket and OEM roles</x:v>
      </x:c>
      <x:c r="I54" s="44" t="str">
        <x:v>https://www.sonyjobs.com/</x:v>
      </x:c>
      <x:c r="J54" s="44" t="str">
        <x:v>https://www.sony.com/electronics/car-marine</x:v>
      </x:c>
      <x:c r="K54" s="44" t="str">
        <x:v>Target employer; opening not verified</x:v>
      </x:c>
      <x:c r="L54" s="44" t="str">
        <x:v>2026-08-01</x:v>
      </x:c>
      <x:c r="M54" s="44" t="str">
        <x:v>Not started</x:v>
      </x:c>
      <x:c r="N54" s="44" t="str"/>
      <x:c r="O54" s="44" t="str">
        <x:v>Review careers page</x:v>
      </x:c>
      <x:c r="P54" s="44" t="str"/>
    </x:row>
    <x:row r="55">
      <x:c r="A55" s="44" t="str">
        <x:v>Aftermarket / specialty audio</x:v>
      </x:c>
      <x:c r="B55" s="44" t="str">
        <x:v>Pioneer Electronics</x:v>
      </x:c>
      <x:c r="C55" s="44" t="str">
        <x:v>In-car entertainment, speakers, amplifiers and connected systems</x:v>
      </x:c>
      <x:c r="D55" s="44" t="str">
        <x:v>Product; applications; validation; embedded software</x:v>
      </x:c>
      <x:c r="E55" s="44" t="str">
        <x:v>US roles vary; global engineering</x:v>
      </x:c>
      <x:c r="F55" s="44" t="str">
        <x:v>Low</x:v>
      </x:c>
      <x:c r="G55" s="44" t="str">
        <x:v>Medium</x:v>
      </x:c>
      <x:c r="H55" s="44" t="str">
        <x:v>Aftermarket/infotainment path; verify current US engineering presence</x:v>
      </x:c>
      <x:c r="I55" s="44" t="str">
        <x:v>https://global.pioneer/en/corp/recruit/</x:v>
      </x:c>
      <x:c r="J55" s="44" t="str">
        <x:v>https://global.pioneer/en/</x:v>
      </x:c>
      <x:c r="K55" s="44" t="str">
        <x:v>Target employer; opening not verified</x:v>
      </x:c>
      <x:c r="L55" s="44" t="str">
        <x:v>2026-08-01</x:v>
      </x:c>
      <x:c r="M55" s="44" t="str">
        <x:v>Not started</x:v>
      </x:c>
      <x:c r="N55" s="44" t="str"/>
      <x:c r="O55" s="44" t="str">
        <x:v>Review careers page</x:v>
      </x:c>
      <x:c r="P55" s="44" t="str"/>
    </x:row>
    <x:row r="56">
      <x:c r="A56" s="44" t="str">
        <x:v>Aftermarket / specialty audio</x:v>
      </x:c>
      <x:c r="B56" s="44" t="str">
        <x:v>Garmin</x:v>
      </x:c>
      <x:c r="C56" s="44" t="str">
        <x:v>Automotive OEM solutions, infotainment and acquired JL Audio capabilities</x:v>
      </x:c>
      <x:c r="D56" s="44" t="str">
        <x:v>Embedded software; audio product; validation; systems</x:v>
      </x:c>
      <x:c r="E56" s="44" t="str">
        <x:v>Olathe, KS; Cary, NC; Miramar, FL; other US sites</x:v>
      </x:c>
      <x:c r="F56" s="44" t="str">
        <x:v>High</x:v>
      </x:c>
      <x:c r="G56" s="44" t="str">
        <x:v>High</x:v>
      </x:c>
      <x:c r="H56" s="44" t="str">
        <x:v>Broad automotive technology employer with regional sites and JL Audio link</x:v>
      </x:c>
      <x:c r="I56" s="44" t="str">
        <x:v>https://careers.garmin.com/</x:v>
      </x:c>
      <x:c r="J56" s="44" t="str">
        <x:v>https://www.garmin.com/en-US/automotive/</x:v>
      </x:c>
      <x:c r="K56" s="44" t="str">
        <x:v>Target employer; search current roles</x:v>
      </x:c>
      <x:c r="L56" s="44" t="str">
        <x:v>2026-08-01</x:v>
      </x:c>
      <x:c r="M56" s="44" t="str">
        <x:v>Not started</x:v>
      </x:c>
      <x:c r="N56" s="44" t="str"/>
      <x:c r="O56" s="44" t="str">
        <x:v>Review careers page</x:v>
      </x:c>
      <x:c r="P56" s="44" t="str"/>
    </x:row>
  </x:sheetData>
  <x:conditionalFormatting sqref="G2:G56">
    <x:cfRule type="containsText" dxfId="0" priority="1" operator="containsText" text="Highest"/>
    <x:cfRule type="containsText" dxfId="1" priority="2" operator="containsText" text="High"/>
  </x:conditionalFormatting>
  <x:dataValidations count="3">
    <x:dataValidation type="list" sqref="M2:M56">
      <x:formula1>"Not started,Watching,Applied,Interviewing,Paused,Closed"</x:formula1>
    </x:dataValidation>
    <x:dataValidation type="list" sqref="F2:F56">
      <x:formula1>"High,Medium,Low"</x:formula1>
    </x:dataValidation>
    <x:dataValidation type="list" sqref="G2:G56">
      <x:formula1>"Highest,High,Medium,Low"</x:formula1>
    </x:dataValidation>
  </x:dataValidations>
  <x:pageMargins left="0.7" right="0.7" top="0.75" bottom="0.75" header="0.3" footer="0.3"/>
  <x:tableParts count="1">
    <x:tablePart xmlns:r="http://schemas.openxmlformats.org/officeDocument/2006/relationships" r:id="Rb441eb5fddd4468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48" hidden="0" customWidth="1"/>
    <x:col min="4" max="4" width="34" hidden="0" customWidth="1"/>
    <x:col min="5" max="5" width="12" hidden="0" customWidth="1"/>
  </x:cols>
  <x:sheetData>
    <x:row r="1">
      <x:c r="A1" s="56" t="str">
        <x:v>Acoustical Consulting Employer Dashboard</x:v>
      </x:c>
      <x:c r="B1" s="45"/>
      <x:c r="C1" s="45"/>
      <x:c r="D1" s="45"/>
      <x:c r="E1" s="45"/>
      <x:c r="F1" s="45"/>
      <x:c r="G1" s="45"/>
      <x:c r="H1" s="45"/>
    </x:row>
    <x:row r="2">
      <x:c r="A2" s="45"/>
      <x:c r="B2" s="45"/>
      <x:c r="C2" s="45"/>
      <x:c r="D2" s="45"/>
      <x:c r="E2" s="45"/>
      <x:c r="F2" s="45"/>
      <x:c r="G2" s="45"/>
      <x:c r="H2" s="45"/>
    </x:row>
    <x:row r="3">
      <x:c r="A3" s="38"/>
      <x:c r="B3" s="38"/>
      <x:c r="C3" s="38"/>
      <x:c r="D3" s="38"/>
      <x:c r="E3" s="38"/>
      <x:c r="F3" s="38"/>
      <x:c r="G3" s="38"/>
      <x:c r="H3" s="38"/>
    </x:row>
    <x:row r="4">
      <x:c r="A4" s="46" t="str">
        <x:v>Priority reflects geographic access, a verified acoustics practice, entry-path plausibility, and fit with Kevin’s present evidence—not a promise of an open position.</x:v>
      </x:c>
      <x:c r="B4" s="46"/>
      <x:c r="C4" s="46"/>
      <x:c r="D4" s="46"/>
      <x:c r="E4" s="46"/>
      <x:c r="F4" s="46"/>
      <x:c r="G4" s="46"/>
      <x:c r="H4" s="46"/>
    </x:row>
    <x:row r="5">
      <x:c r="A5" s="38"/>
      <x:c r="B5" s="38"/>
      <x:c r="C5" s="38"/>
      <x:c r="D5" s="38"/>
      <x:c r="E5" s="38"/>
      <x:c r="F5" s="38"/>
      <x:c r="G5" s="38"/>
      <x:c r="H5" s="38"/>
    </x:row>
    <x:row r="6">
      <x:c r="A6" s="47" t="str">
        <x:v>Metric</x:v>
      </x:c>
      <x:c r="B6" s="47" t="str">
        <x:v>Count</x:v>
      </x:c>
      <x:c r="C6" s="38"/>
      <x:c r="D6" s="47" t="str">
        <x:v>Consulting lane</x:v>
      </x:c>
      <x:c r="E6" s="47" t="str">
        <x:v>Count</x:v>
      </x:c>
      <x:c r="F6" s="38"/>
      <x:c r="G6" s="38"/>
      <x:c r="H6" s="38"/>
    </x:row>
    <x:row r="7">
      <x:c r="A7" s="38" t="str">
        <x:v>Total consulting employers</x:v>
      </x:c>
      <x:c r="B7" s="38" t="n">
        <x:f>COUNTA('Consulting Employers'!B2:B37)</x:f>
        <x:v>36</x:v>
      </x:c>
      <x:c r="C7" s="38"/>
      <x:c r="D7" s="38" t="str">
        <x:v>Southeast / regional practice</x:v>
      </x:c>
      <x:c r="E7" s="38" t="n">
        <x:f>COUNTIF('Consulting Employers'!A2:A37,D7)</x:f>
        <x:v>9</x:v>
      </x:c>
      <x:c r="F7" s="38"/>
      <x:c r="G7" s="38"/>
      <x:c r="H7" s="38"/>
    </x:row>
    <x:row r="8">
      <x:c r="A8" s="38" t="str">
        <x:v>Highest priority</x:v>
      </x:c>
      <x:c r="B8" s="38" t="n">
        <x:f>COUNTIF('Consulting Employers'!G2:G37,"Highest")</x:f>
        <x:v>11</x:v>
      </x:c>
      <x:c r="C8" s="38"/>
      <x:c r="D8" s="38" t="str">
        <x:v>National specialty acoustics</x:v>
      </x:c>
      <x:c r="E8" s="38" t="n">
        <x:f>COUNTIF('Consulting Employers'!A2:A37,D8)</x:f>
        <x:v>13</x:v>
      </x:c>
      <x:c r="F8" s="38"/>
      <x:c r="G8" s="38"/>
      <x:c r="H8" s="38"/>
    </x:row>
    <x:row r="9">
      <x:c r="A9" s="38" t="str">
        <x:v>High priority</x:v>
      </x:c>
      <x:c r="B9" s="38" t="n">
        <x:f>COUNTIF('Consulting Employers'!G2:G37,"High")</x:f>
        <x:v>16</x:v>
      </x:c>
      <x:c r="C9" s="38"/>
      <x:c r="D9" s="38" t="str">
        <x:v>Multidisciplinary AEC / engineering</x:v>
      </x:c>
      <x:c r="E9" s="38" t="n">
        <x:f>COUNTIF('Consulting Employers'!A2:A37,D9)</x:f>
        <x:v>7</x:v>
      </x:c>
      <x:c r="F9" s="38"/>
      <x:c r="G9" s="38"/>
      <x:c r="H9" s="38"/>
    </x:row>
    <x:row r="10">
      <x:c r="A10" s="38" t="str">
        <x:v>Southeast: High</x:v>
      </x:c>
      <x:c r="B10" s="38" t="n">
        <x:f>COUNTIF('Consulting Employers'!F2:F37,"High")</x:f>
        <x:v>14</x:v>
      </x:c>
      <x:c r="C10" s="38"/>
      <x:c r="D10" s="38" t="str">
        <x:v>Environmental / industrial noise</x:v>
      </x:c>
      <x:c r="E10" s="38" t="n">
        <x:f>COUNTIF('Consulting Employers'!A2:A37,D10)</x:f>
        <x:v>7</x:v>
      </x:c>
      <x:c r="F10" s="38"/>
      <x:c r="G10" s="38"/>
      <x:c r="H10" s="38"/>
    </x:row>
    <x:row r="11">
      <x:c r="A11" s="38" t="str">
        <x:v>Specialist acoustics firms</x:v>
      </x:c>
      <x:c r="B11" s="38" t="n">
        <x:f>COUNTIF('Consulting Employers'!A2:A37,"National specialty acoustics")</x:f>
        <x:v>13</x:v>
      </x:c>
      <x:c r="C11" s="38"/>
      <x:c r="D11" s="38"/>
      <x:c r="E11" s="38"/>
      <x:c r="F11" s="38"/>
      <x:c r="G11" s="38"/>
      <x:c r="H11" s="38"/>
    </x:row>
    <x:row r="12">
      <x:c r="A12" s="38"/>
      <x:c r="B12" s="38"/>
      <x:c r="C12" s="38"/>
      <x:c r="D12" s="38"/>
      <x:c r="E12" s="38"/>
      <x:c r="F12" s="38"/>
      <x:c r="G12" s="38"/>
      <x:c r="H12" s="38"/>
    </x:row>
    <x:row r="13">
      <x:c r="A13" s="38"/>
      <x:c r="B13" s="38"/>
      <x:c r="C13" s="38"/>
      <x:c r="D13" s="38"/>
      <x:c r="E13" s="38"/>
      <x:c r="F13" s="38"/>
      <x:c r="G13" s="38"/>
      <x:c r="H13" s="38"/>
    </x:row>
    <x:row r="14">
      <x:c r="A14" s="48" t="str">
        <x:v>Recommended starting sequence</x:v>
      </x:c>
      <x:c r="B14" s="48"/>
      <x:c r="C14" s="48"/>
      <x:c r="D14" s="48"/>
      <x:c r="E14" s="48"/>
      <x:c r="F14" s="48"/>
      <x:c r="G14" s="48"/>
      <x:c r="H14" s="48"/>
    </x:row>
    <x:row r="15" ht="38" customHeight="1">
      <x:c r="A15" s="49" t="str">
        <x:v>1</x:v>
      </x:c>
      <x:c r="B15" s="49" t="str">
        <x:v>Atlanta direct targets</x:v>
      </x:c>
      <x:c r="C15" s="49" t="str">
        <x:v>Newcomb &amp; Boyd and Waveguide; then WSP, Coffman, AECOM, HDR and Jacobs.</x:v>
      </x:c>
      <x:c r="D15" s="49" t="str"/>
      <x:c r="E15" s="49" t="str"/>
      <x:c r="F15" s="49" t="str"/>
      <x:c r="G15" s="49" t="str"/>
      <x:c r="H15" s="49" t="str"/>
    </x:row>
    <x:row r="16" ht="38" customHeight="1">
      <x:c r="A16" s="49" t="str">
        <x:v>2</x:v>
      </x:c>
      <x:c r="B16" s="49" t="str">
        <x:v>Southeast specialists</x:v>
      </x:c>
      <x:c r="C16" s="49" t="str">
        <x:v>Siebein Acoustic, Cerami/Trinity, Polysonics and regional offices of national firms.</x:v>
      </x:c>
      <x:c r="D16" s="49" t="str"/>
      <x:c r="E16" s="49" t="str"/>
      <x:c r="F16" s="49" t="str"/>
      <x:c r="G16" s="49" t="str"/>
      <x:c r="H16" s="49" t="str"/>
    </x:row>
    <x:row r="17" ht="38" customHeight="1">
      <x:c r="A17" s="49" t="str">
        <x:v>3</x:v>
      </x:c>
      <x:c r="B17" s="49" t="str">
        <x:v>National specialists</x:v>
      </x:c>
      <x:c r="C17" s="49" t="str">
        <x:v>Acentech, Kirkegaard, Jaffe Holden, Cavanaugh Tocci, SM&amp;W and Cerami.</x:v>
      </x:c>
      <x:c r="D17" s="49" t="str"/>
      <x:c r="E17" s="49" t="str"/>
      <x:c r="F17" s="49" t="str"/>
      <x:c r="G17" s="49" t="str"/>
      <x:c r="H17" s="49" t="str"/>
    </x:row>
    <x:row r="18" ht="38" customHeight="1">
      <x:c r="A18" s="49" t="str">
        <x:v>4</x:v>
      </x:c>
      <x:c r="B18" s="49" t="str">
        <x:v>Large-firm early career</x:v>
      </x:c>
      <x:c r="C18" s="49" t="str">
        <x:v>WSP, Stantec, Arup, AECOM, HDR and NV5—search beyond the exact title “acoustical consultant.”</x:v>
      </x:c>
      <x:c r="D18" s="49" t="str"/>
      <x:c r="E18" s="49" t="str"/>
      <x:c r="F18" s="49" t="str"/>
      <x:c r="G18" s="49" t="str"/>
      <x:c r="H18" s="49" t="str"/>
    </x:row>
    <x:row r="19" ht="38" customHeight="1">
      <x:c r="A19" s="49" t="str">
        <x:v>5</x:v>
      </x:c>
      <x:c r="B19" s="49" t="str">
        <x:v>Environmental noise</x:v>
      </x:c>
      <x:c r="C19" s="49" t="str">
        <x:v>SLR, Trinity, Ramboll, ERM, Epsilon and RSG for measurement/modeling/reporting routes.</x:v>
      </x:c>
      <x:c r="D19" s="49" t="str"/>
      <x:c r="E19" s="49" t="str"/>
      <x:c r="F19" s="49" t="str"/>
      <x:c r="G19" s="49" t="str"/>
      <x:c r="H19" s="49" t="str"/>
    </x:row>
  </x:sheetData>
  <x:mergeCells>
    <x:mergeCell ref="A1:H2"/>
    <x:mergeCell ref="A4:H4"/>
    <x:mergeCell ref="A14:H1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42" hidden="0" customWidth="1"/>
    <x:col min="4" max="4" width="38" hidden="0" customWidth="1"/>
    <x:col min="5" max="5" width="36" hidden="0" customWidth="1"/>
    <x:col min="6" max="6" width="14" hidden="0" customWidth="1"/>
    <x:col min="7" max="7" width="12" hidden="0" customWidth="1"/>
    <x:col min="8" max="8" width="46" hidden="0" customWidth="1"/>
    <x:col min="9" max="9" width="34" hidden="0" customWidth="1"/>
    <x:col min="10" max="10" width="36" hidden="0" customWidth="1"/>
    <x:col min="11" max="11" width="32" hidden="0" customWidth="1"/>
    <x:col min="12" max="12" width="14" hidden="0" customWidth="1"/>
    <x:col min="13" max="13" width="16" hidden="0" customWidth="1"/>
    <x:col min="14" max="14" width="24" hidden="0" customWidth="1"/>
    <x:col min="15" max="15" width="28" hidden="0" customWidth="1"/>
    <x:col min="16" max="16" width="14" hidden="0" customWidth="1"/>
  </x:cols>
  <x:sheetData>
    <x:row r="1" ht="38" customHeight="1">
      <x:c r="A1" s="50" t="str">
        <x:v>Consulting lane</x:v>
      </x:c>
      <x:c r="B1" s="50" t="str">
        <x:v>Employer</x:v>
      </x:c>
      <x:c r="C1" s="50" t="str">
        <x:v>Acoustical-consulting relevance</x:v>
      </x:c>
      <x:c r="D1" s="50" t="str">
        <x:v>Likely role families</x:v>
      </x:c>
      <x:c r="E1" s="50" t="str">
        <x:v>Primary US offices / hubs</x:v>
      </x:c>
      <x:c r="F1" s="50" t="str">
        <x:v>Southeast relevance</x:v>
      </x:c>
      <x:c r="G1" s="50" t="str">
        <x:v>Priority</x:v>
      </x:c>
      <x:c r="H1" s="50" t="str">
        <x:v>Why it fits Kevin</x:v>
      </x:c>
      <x:c r="I1" s="50" t="str">
        <x:v>Careers</x:v>
      </x:c>
      <x:c r="J1" s="50" t="str">
        <x:v>Official evidence</x:v>
      </x:c>
      <x:c r="K1" s="50" t="str">
        <x:v>Verification status</x:v>
      </x:c>
      <x:c r="L1" s="50" t="str">
        <x:v>Last verified</x:v>
      </x:c>
      <x:c r="M1" s="50" t="str">
        <x:v>Application status</x:v>
      </x:c>
      <x:c r="N1" s="50" t="str">
        <x:v>Contact / referral</x:v>
      </x:c>
      <x:c r="O1" s="50" t="str">
        <x:v>Next action</x:v>
      </x:c>
      <x:c r="P1" s="50" t="str">
        <x:v>Last checked</x:v>
      </x:c>
    </x:row>
    <x:row r="2">
      <x:c r="A2" s="51" t="str">
        <x:v>Southeast / regional practice</x:v>
      </x:c>
      <x:c r="B2" s="51" t="str">
        <x:v>Newcomb &amp; Boyd</x:v>
      </x:c>
      <x:c r="C2" s="51" t="str">
        <x:v>Architectural acoustics, noise control, modeling and commissioning within an integrated building-engineering practice</x:v>
      </x:c>
      <x:c r="D2" s="51" t="str">
        <x:v>Junior acoustical consultant; acoustics designer; commissioning; AV/acoustics; building-performance analyst</x:v>
      </x:c>
      <x:c r="E2" s="51" t="str">
        <x:v>Atlanta, GA; Charleston, SC; Jacksonville, FL; Raleigh-Durham, NC</x:v>
      </x:c>
      <x:c r="F2" s="51" t="str">
        <x:v>High</x:v>
      </x:c>
      <x:c r="G2" s="51" t="str">
        <x:v>Highest</x:v>
      </x:c>
      <x:c r="H2" s="51" t="str">
        <x:v>Atlanta-based, acoustics is a named service, and the work connects measurement, architectural coordination and report writing</x:v>
      </x:c>
      <x:c r="I2" s="51" t="str">
        <x:v>https://www.newcomb-boyd.com/careers/</x:v>
      </x:c>
      <x:c r="J2" s="51" t="str">
        <x:v>https://www.newcomb-boyd.com/service/acoustics/</x:v>
      </x:c>
      <x:c r="K2" s="51" t="str">
        <x:v>Firm, offices and acoustics practice verified</x:v>
      </x:c>
      <x:c r="L2" s="51" t="str">
        <x:v>2026-08-01</x:v>
      </x:c>
      <x:c r="M2" s="51" t="str">
        <x:v>Not started</x:v>
      </x:c>
      <x:c r="N2" s="51" t="str"/>
      <x:c r="O2" s="51" t="str">
        <x:v>Review careers page</x:v>
      </x:c>
      <x:c r="P2" s="51" t="str"/>
    </x:row>
    <x:row r="3">
      <x:c r="A3" s="51" t="str">
        <x:v>Southeast / regional practice</x:v>
      </x:c>
      <x:c r="B3" s="51" t="str">
        <x:v>Waveguide</x:v>
      </x:c>
      <x:c r="C3" s="51" t="str">
        <x:v>Acoustics, audiovisual, IT and technology consulting across the building lifecycle</x:v>
      </x:c>
      <x:c r="D3" s="51" t="str">
        <x:v>Acoustics consultant; AV designer; field/commissioning specialist; technology consultant</x:v>
      </x:c>
      <x:c r="E3" s="51" t="str">
        <x:v>Atlanta-rooted national practice; multiple US offices—verify role location</x:v>
      </x:c>
      <x:c r="F3" s="51" t="str">
        <x:v>High</x:v>
      </x:c>
      <x:c r="G3" s="51" t="str">
        <x:v>Highest</x:v>
      </x:c>
      <x:c r="H3" s="51" t="str">
        <x:v>Strong local bridge between audio, room acoustics, AV systems and client-facing consulting</x:v>
      </x:c>
      <x:c r="I3" s="51" t="str">
        <x:v>https://www.waveguide.com/careers/</x:v>
      </x:c>
      <x:c r="J3" s="51" t="str">
        <x:v>https://www.waveguide.com/</x:v>
      </x:c>
      <x:c r="K3" s="51" t="str">
        <x:v>Firm, acoustics practice and careers verified</x:v>
      </x:c>
      <x:c r="L3" s="51" t="str">
        <x:v>2026-08-01</x:v>
      </x:c>
      <x:c r="M3" s="51" t="str">
        <x:v>Not started</x:v>
      </x:c>
      <x:c r="N3" s="51" t="str"/>
      <x:c r="O3" s="51" t="str">
        <x:v>Review careers page</x:v>
      </x:c>
      <x:c r="P3" s="51" t="str"/>
    </x:row>
    <x:row r="4">
      <x:c r="A4" s="51" t="str">
        <x:v>Southeast / regional practice</x:v>
      </x:c>
      <x:c r="B4" s="51" t="str">
        <x:v>Siebein Acoustic</x:v>
      </x:c>
      <x:c r="C4" s="51" t="str">
        <x:v>Architectural, environmental and product acoustics with measurement, modeling and soundscape work</x:v>
      </x:c>
      <x:c r="D4" s="51" t="str">
        <x:v>Acoustical consultant; field measurement; modeling; research assistant</x:v>
      </x:c>
      <x:c r="E4" s="51" t="str">
        <x:v>Gainesville, FL; project work across the Southeast</x:v>
      </x:c>
      <x:c r="F4" s="51" t="str">
        <x:v>High</x:v>
      </x:c>
      <x:c r="G4" s="51" t="str">
        <x:v>Highest</x:v>
      </x:c>
      <x:c r="H4" s="51" t="str">
        <x:v>Regional specialist with a strong link to music, architecture, measurement and applied research</x:v>
      </x:c>
      <x:c r="I4" s="51" t="str">
        <x:v>https://siebeinacoustic.com/contact/</x:v>
      </x:c>
      <x:c r="J4" s="51" t="str">
        <x:v>https://siebeinacoustic.com/</x:v>
      </x:c>
      <x:c r="K4" s="51" t="str">
        <x:v>Target firm; careers route may require direct inquiry</x:v>
      </x:c>
      <x:c r="L4" s="51" t="str">
        <x:v>2026-08-01</x:v>
      </x:c>
      <x:c r="M4" s="51" t="str">
        <x:v>Not started</x:v>
      </x:c>
      <x:c r="N4" s="51" t="str"/>
      <x:c r="O4" s="51" t="str">
        <x:v>Review careers page</x:v>
      </x:c>
      <x:c r="P4" s="51" t="str"/>
    </x:row>
    <x:row r="5">
      <x:c r="A5" s="51" t="str">
        <x:v>Southeast / regional practice</x:v>
      </x:c>
      <x:c r="B5" s="51" t="str">
        <x:v>Coffman Engineers</x:v>
      </x:c>
      <x:c r="C5" s="51" t="str">
        <x:v>Multidisciplinary engineering with acoustics/noise capabilities and regional offices</x:v>
      </x:c>
      <x:c r="D5" s="51" t="str">
        <x:v>Entry-level acoustics/noise; mechanical noise; field measurement; engineering support</x:v>
      </x:c>
      <x:c r="E5" s="51" t="str">
        <x:v>Atlanta, GA and multiple US offices</x:v>
      </x:c>
      <x:c r="F5" s="51" t="str">
        <x:v>High</x:v>
      </x:c>
      <x:c r="G5" s="51" t="str">
        <x:v>Highest</x:v>
      </x:c>
      <x:c r="H5" s="51" t="str">
        <x:v>Existing professional contact plus multidisciplinary mentoring potential</x:v>
      </x:c>
      <x:c r="I5" s="51" t="str">
        <x:v>https://www.coffman.com/careers/</x:v>
      </x:c>
      <x:c r="J5" s="51" t="str">
        <x:v>https://www.coffman.com/</x:v>
      </x:c>
      <x:c r="K5" s="51" t="str">
        <x:v>Relationship and employer target documented; verify local acoustics staffing</x:v>
      </x:c>
      <x:c r="L5" s="51" t="str">
        <x:v>2026-08-01</x:v>
      </x:c>
      <x:c r="M5" s="51" t="str">
        <x:v>Not started</x:v>
      </x:c>
      <x:c r="N5" s="51" t="str"/>
      <x:c r="O5" s="51" t="str">
        <x:v>Review careers page</x:v>
      </x:c>
      <x:c r="P5" s="51" t="str"/>
    </x:row>
    <x:row r="6">
      <x:c r="A6" s="51" t="str">
        <x:v>Southeast / regional practice</x:v>
      </x:c>
      <x:c r="B6" s="51" t="str">
        <x:v>WSP USA</x:v>
      </x:c>
      <x:c r="C6" s="51" t="str">
        <x:v>Acoustics and vibration within a large engineering and professional-services firm</x:v>
      </x:c>
      <x:c r="D6" s="51" t="str">
        <x:v>Acoustics consultant; noise/vibration analyst; environmental noise; building acoustics</x:v>
      </x:c>
      <x:c r="E6" s="51" t="str">
        <x:v>Atlanta, GA plus extensive US office network</x:v>
      </x:c>
      <x:c r="F6" s="51" t="str">
        <x:v>High</x:v>
      </x:c>
      <x:c r="G6" s="51" t="str">
        <x:v>Highest</x:v>
      </x:c>
      <x:c r="H6" s="51" t="str">
        <x:v>Atlanta office and an established acoustics/vibration service create a practical local search path</x:v>
      </x:c>
      <x:c r="I6" s="51" t="str">
        <x:v>https://www.wsp.com/en-us/careers/job-opportunities</x:v>
      </x:c>
      <x:c r="J6" s="51" t="str">
        <x:v>https://www.wsp.com/en-us/contact-us/offices</x:v>
      </x:c>
      <x:c r="K6" s="51" t="str">
        <x:v>US careers, Atlanta office and acoustics discipline verified</x:v>
      </x:c>
      <x:c r="L6" s="51" t="str">
        <x:v>2026-08-01</x:v>
      </x:c>
      <x:c r="M6" s="51" t="str">
        <x:v>Not started</x:v>
      </x:c>
      <x:c r="N6" s="51" t="str"/>
      <x:c r="O6" s="51" t="str">
        <x:v>Review careers page</x:v>
      </x:c>
      <x:c r="P6" s="51" t="str"/>
    </x:row>
    <x:row r="7">
      <x:c r="A7" s="51" t="str">
        <x:v>Southeast / regional practice</x:v>
      </x:c>
      <x:c r="B7" s="51" t="str">
        <x:v>Salas O’Brien</x:v>
      </x:c>
      <x:c r="C7" s="51" t="str">
        <x:v>Engineering and technology consulting with acoustics, vibration, AV and performance-space capabilities</x:v>
      </x:c>
      <x:c r="D7" s="51" t="str">
        <x:v>Acoustics/AV consultant; noise control; building systems; commissioning</x:v>
      </x:c>
      <x:c r="E7" s="51" t="str">
        <x:v>Multiple Southeast and US offices—verify acoustics team location</x:v>
      </x:c>
      <x:c r="F7" s="51" t="str">
        <x:v>High</x:v>
      </x:c>
      <x:c r="G7" s="51" t="str">
        <x:v>High</x:v>
      </x:c>
      <x:c r="H7" s="51" t="str">
        <x:v>Broad building-engineering route where audio, AV and acoustics can overlap</x:v>
      </x:c>
      <x:c r="I7" s="51" t="str">
        <x:v>https://salasobrien.com/careers/</x:v>
      </x:c>
      <x:c r="J7" s="51" t="str">
        <x:v>https://salasobrien.com/</x:v>
      </x:c>
      <x:c r="K7" s="51" t="str">
        <x:v>Target firm; verify role-specific acoustics location</x:v>
      </x:c>
      <x:c r="L7" s="51" t="str">
        <x:v>2026-08-01</x:v>
      </x:c>
      <x:c r="M7" s="51" t="str">
        <x:v>Not started</x:v>
      </x:c>
      <x:c r="N7" s="51" t="str"/>
      <x:c r="O7" s="51" t="str">
        <x:v>Review careers page</x:v>
      </x:c>
      <x:c r="P7" s="51" t="str"/>
    </x:row>
    <x:row r="8">
      <x:c r="A8" s="51" t="str">
        <x:v>Southeast / regional practice</x:v>
      </x:c>
      <x:c r="B8" s="51" t="str">
        <x:v>NV5</x:v>
      </x:c>
      <x:c r="C8" s="51" t="str">
        <x:v>Engineering, technology, building performance and acoustical consulting through specialty groups</x:v>
      </x:c>
      <x:c r="D8" s="51" t="str">
        <x:v>Acoustical consultant; field testing; building performance; noise/vibration; AV</x:v>
      </x:c>
      <x:c r="E8" s="51" t="str">
        <x:v>Atlanta and multiple US offices—specialty team location varies</x:v>
      </x:c>
      <x:c r="F8" s="51" t="str">
        <x:v>High</x:v>
      </x:c>
      <x:c r="G8" s="51" t="str">
        <x:v>High</x:v>
      </x:c>
      <x:c r="H8" s="51" t="str">
        <x:v>Large employer with testing and consulting pathways; filter carefully for acoustics-specific roles</x:v>
      </x:c>
      <x:c r="I8" s="51" t="str">
        <x:v>https://www.nv5.com/careers/</x:v>
      </x:c>
      <x:c r="J8" s="51" t="str">
        <x:v>https://www.nv5.com/</x:v>
      </x:c>
      <x:c r="K8" s="51" t="str">
        <x:v>Target firm; role-specific practice needs verification</x:v>
      </x:c>
      <x:c r="L8" s="51" t="str">
        <x:v>2026-08-01</x:v>
      </x:c>
      <x:c r="M8" s="51" t="str">
        <x:v>Not started</x:v>
      </x:c>
      <x:c r="N8" s="51" t="str"/>
      <x:c r="O8" s="51" t="str">
        <x:v>Review careers page</x:v>
      </x:c>
      <x:c r="P8" s="51" t="str"/>
    </x:row>
    <x:row r="9">
      <x:c r="A9" s="51" t="str">
        <x:v>Southeast / regional practice</x:v>
      </x:c>
      <x:c r="B9" s="51" t="str">
        <x:v>Polysonics</x:v>
      </x:c>
      <x:c r="C9" s="51" t="str">
        <x:v>Acoustics, audiovisual, technology and noise-control consulting</x:v>
      </x:c>
      <x:c r="D9" s="51" t="str">
        <x:v>Acoustical consultant; AV systems designer; field testing; modeling</x:v>
      </x:c>
      <x:c r="E9" s="51" t="str">
        <x:v>Warrenton, VA; Mid-Atlantic and national project work</x:v>
      </x:c>
      <x:c r="F9" s="51" t="str">
        <x:v>Medium</x:v>
      </x:c>
      <x:c r="G9" s="51" t="str">
        <x:v>High</x:v>
      </x:c>
      <x:c r="H9" s="51" t="str">
        <x:v>Relatively close specialty practice combining acoustics and AV</x:v>
      </x:c>
      <x:c r="I9" s="51" t="str">
        <x:v>https://www.polysonics.com/careers/</x:v>
      </x:c>
      <x:c r="J9" s="51" t="str">
        <x:v>https://www.polysonics.com/</x:v>
      </x:c>
      <x:c r="K9" s="51" t="str">
        <x:v>Target firm; opening not verified</x:v>
      </x:c>
      <x:c r="L9" s="51" t="str">
        <x:v>2026-08-01</x:v>
      </x:c>
      <x:c r="M9" s="51" t="str">
        <x:v>Not started</x:v>
      </x:c>
      <x:c r="N9" s="51" t="str"/>
      <x:c r="O9" s="51" t="str">
        <x:v>Review careers page</x:v>
      </x:c>
      <x:c r="P9" s="51" t="str"/>
    </x:row>
    <x:row r="10">
      <x:c r="A10" s="51" t="str">
        <x:v>Southeast / regional practice</x:v>
      </x:c>
      <x:c r="B10" s="51" t="str">
        <x:v>Threshold Acoustics</x:v>
      </x:c>
      <x:c r="C10" s="51" t="str">
        <x:v>Architectural and performing-arts acoustics, sound isolation and noise control</x:v>
      </x:c>
      <x:c r="D10" s="51" t="str">
        <x:v>Acoustical consultant; performing-arts design; modeling; field measurement</x:v>
      </x:c>
      <x:c r="E10" s="51" t="str">
        <x:v>Chicago, IL; projects nationally including Southeast</x:v>
      </x:c>
      <x:c r="F10" s="51" t="str">
        <x:v>Medium</x:v>
      </x:c>
      <x:c r="G10" s="51" t="str">
        <x:v>High</x:v>
      </x:c>
      <x:c r="H10" s="51" t="str">
        <x:v>Music and immersive background aligns with performance-space work</x:v>
      </x:c>
      <x:c r="I10" s="51" t="str">
        <x:v>https://thresholdacoustics.com/contact/</x:v>
      </x:c>
      <x:c r="J10" s="51" t="str">
        <x:v>https://thresholdacoustics.com/</x:v>
      </x:c>
      <x:c r="K10" s="51" t="str">
        <x:v>Target specialist; careers route may be direct inquiry</x:v>
      </x:c>
      <x:c r="L10" s="51" t="str">
        <x:v>2026-08-01</x:v>
      </x:c>
      <x:c r="M10" s="51" t="str">
        <x:v>Not started</x:v>
      </x:c>
      <x:c r="N10" s="51" t="str"/>
      <x:c r="O10" s="51" t="str">
        <x:v>Review careers page</x:v>
      </x:c>
      <x:c r="P10" s="51" t="str"/>
    </x:row>
    <x:row r="11">
      <x:c r="A11" s="51" t="str">
        <x:v>National specialty acoustics</x:v>
      </x:c>
      <x:c r="B11" s="51" t="str">
        <x:v>Acentech</x:v>
      </x:c>
      <x:c r="C11" s="51" t="str">
        <x:v>Building acoustics, environmental noise, vibration, product sound quality, AV and monitoring</x:v>
      </x:c>
      <x:c r="D11" s="51" t="str">
        <x:v>Acoustical consultant; noise/vibration; sound quality; field measurement; AV</x:v>
      </x:c>
      <x:c r="E11" s="51" t="str">
        <x:v>Cambridge, MA; Philadelphia, PA; Los Angeles, CA; other offices</x:v>
      </x:c>
      <x:c r="F11" s="51" t="str">
        <x:v>Low</x:v>
      </x:c>
      <x:c r="G11" s="51" t="str">
        <x:v>Highest</x:v>
      </x:c>
      <x:c r="H11" s="51" t="str">
        <x:v>Broadest specialist match to measurement, critical listening, reporting and music/room acoustics</x:v>
      </x:c>
      <x:c r="I11" s="51" t="str">
        <x:v>https://www.acentech.com/about/careers/</x:v>
      </x:c>
      <x:c r="J11" s="51" t="str">
        <x:v>https://www.acentech.com/</x:v>
      </x:c>
      <x:c r="K11" s="51" t="str">
        <x:v>Careers and full acoustics/noise scope verified</x:v>
      </x:c>
      <x:c r="L11" s="51" t="str">
        <x:v>2026-08-01</x:v>
      </x:c>
      <x:c r="M11" s="51" t="str">
        <x:v>Not started</x:v>
      </x:c>
      <x:c r="N11" s="51" t="str"/>
      <x:c r="O11" s="51" t="str">
        <x:v>Review careers page</x:v>
      </x:c>
      <x:c r="P11" s="51" t="str"/>
    </x:row>
    <x:row r="12">
      <x:c r="A12" s="51" t="str">
        <x:v>National specialty acoustics</x:v>
      </x:c>
      <x:c r="B12" s="51" t="str">
        <x:v>Kirkegaard</x:v>
      </x:c>
      <x:c r="C12" s="51" t="str">
        <x:v>Architectural acoustics, performing arts, AV, theater planning and noise control</x:v>
      </x:c>
      <x:c r="D12" s="51" t="str">
        <x:v>Acoustical consultant; systems designer; performing-arts consultant; intern</x:v>
      </x:c>
      <x:c r="E12" s="51" t="str">
        <x:v>Chicago, IL; Denver, CO; St. Louis, MO and other offices</x:v>
      </x:c>
      <x:c r="F12" s="51" t="str">
        <x:v>Low</x:v>
      </x:c>
      <x:c r="G12" s="51" t="str">
        <x:v>Highest</x:v>
      </x:c>
      <x:c r="H12" s="51" t="str">
        <x:v>Explicitly welcomes music and audio backgrounds; excellent alignment with performance and technical-audio history</x:v>
      </x:c>
      <x:c r="I12" s="51" t="str">
        <x:v>https://www.kirkegaard.com/workhere/</x:v>
      </x:c>
      <x:c r="J12" s="51" t="str">
        <x:v>https://www.kirkegaard.com/</x:v>
      </x:c>
      <x:c r="K12" s="51" t="str">
        <x:v>Careers and multidisciplinary candidate backgrounds verified</x:v>
      </x:c>
      <x:c r="L12" s="51" t="str">
        <x:v>2026-08-01</x:v>
      </x:c>
      <x:c r="M12" s="51" t="str">
        <x:v>Not started</x:v>
      </x:c>
      <x:c r="N12" s="51" t="str"/>
      <x:c r="O12" s="51" t="str">
        <x:v>Review careers page</x:v>
      </x:c>
      <x:c r="P12" s="51" t="str"/>
    </x:row>
    <x:row r="13">
      <x:c r="A13" s="51" t="str">
        <x:v>National specialty acoustics</x:v>
      </x:c>
      <x:c r="B13" s="51" t="str">
        <x:v>Jaffe Holden</x:v>
      </x:c>
      <x:c r="C13" s="51" t="str">
        <x:v>Architectural acoustics and audio/video systems for performing arts, education and cultural spaces</x:v>
      </x:c>
      <x:c r="D13" s="51" t="str">
        <x:v>Acoustical consultant; audio/video consultant; design assistant</x:v>
      </x:c>
      <x:c r="E13" s="51" t="str">
        <x:v>Norwalk, CT; project work nationally and internationally</x:v>
      </x:c>
      <x:c r="F13" s="51" t="str">
        <x:v>Low</x:v>
      </x:c>
      <x:c r="G13" s="51" t="str">
        <x:v>Highest</x:v>
      </x:c>
      <x:c r="H13" s="51" t="str">
        <x:v>Direct intersection of musicianship, production, room acoustics and client design</x:v>
      </x:c>
      <x:c r="I13" s="51" t="str">
        <x:v>https://jaffeholden.com/careers/</x:v>
      </x:c>
      <x:c r="J13" s="51" t="str">
        <x:v>https://jaffeholden.com/what-we-do/</x:v>
      </x:c>
      <x:c r="K13" s="51" t="str">
        <x:v>Careers and acoustics/AV practice verified</x:v>
      </x:c>
      <x:c r="L13" s="51" t="str">
        <x:v>2026-08-01</x:v>
      </x:c>
      <x:c r="M13" s="51" t="str">
        <x:v>Not started</x:v>
      </x:c>
      <x:c r="N13" s="51" t="str"/>
      <x:c r="O13" s="51" t="str">
        <x:v>Review careers page</x:v>
      </x:c>
      <x:c r="P13" s="51" t="str"/>
    </x:row>
    <x:row r="14">
      <x:c r="A14" s="51" t="str">
        <x:v>National specialty acoustics</x:v>
      </x:c>
      <x:c r="B14" s="51" t="str">
        <x:v>Cavanaugh Tocci</x:v>
      </x:c>
      <x:c r="C14" s="51" t="str">
        <x:v>Architectural and environmental acoustics, noise/vibration, audiovisual, theater and lighting</x:v>
      </x:c>
      <x:c r="D14" s="51" t="str">
        <x:v>Staff consultant; environmental acoustics; AV designer; field measurement</x:v>
      </x:c>
      <x:c r="E14" s="51" t="str">
        <x:v>Sudbury, MA</x:v>
      </x:c>
      <x:c r="F14" s="51" t="str">
        <x:v>Low</x:v>
      </x:c>
      <x:c r="G14" s="51" t="str">
        <x:v>Highest</x:v>
      </x:c>
      <x:c r="H14" s="51" t="str">
        <x:v>Documented staff-consultant pathway and a scope spanning DSP, psychoacoustics, buildings and environmental noise</x:v>
      </x:c>
      <x:c r="I14" s="51" t="str">
        <x:v>https://www.cavtocci.com/careers</x:v>
      </x:c>
      <x:c r="J14" s="51" t="str">
        <x:v>https://www.cavtocci.com/</x:v>
      </x:c>
      <x:c r="K14" s="51" t="str">
        <x:v>Firm scope and careers verified</x:v>
      </x:c>
      <x:c r="L14" s="51" t="str">
        <x:v>2026-08-01</x:v>
      </x:c>
      <x:c r="M14" s="51" t="str">
        <x:v>Not started</x:v>
      </x:c>
      <x:c r="N14" s="51" t="str"/>
      <x:c r="O14" s="51" t="str">
        <x:v>Review careers page</x:v>
      </x:c>
      <x:c r="P14" s="51" t="str"/>
    </x:row>
    <x:row r="15">
      <x:c r="A15" s="51" t="str">
        <x:v>National specialty acoustics</x:v>
      </x:c>
      <x:c r="B15" s="51" t="str">
        <x:v>Cerami &amp; Associates / Trinity Consultants</x:v>
      </x:c>
      <x:c r="C15" s="51" t="str">
        <x:v>Acoustic design, technology consulting, site assessment, noise and vibration</x:v>
      </x:c>
      <x:c r="D15" s="51" t="str">
        <x:v>Acoustic designer; consultant; field assessment; AV/technology designer</x:v>
      </x:c>
      <x:c r="E15" s="51" t="str">
        <x:v>New York, NY; Washington, DC; Philadelphia, PA; Chicago, IL; Miami, FL</x:v>
      </x:c>
      <x:c r="F15" s="51" t="str">
        <x:v>Medium</x:v>
      </x:c>
      <x:c r="G15" s="51" t="str">
        <x:v>Highest</x:v>
      </x:c>
      <x:c r="H15" s="51" t="str">
        <x:v>Miami/Southeast access plus a large integrated acoustic-design and technology team</x:v>
      </x:c>
      <x:c r="I15" s="51" t="str">
        <x:v>https://www.ceramiassociates.com/careers/</x:v>
      </x:c>
      <x:c r="J15" s="51" t="str">
        <x:v>https://www.ceramiassociates.com/expertise/</x:v>
      </x:c>
      <x:c r="K15" s="51" t="str">
        <x:v>Careers, offices and service scope verified</x:v>
      </x:c>
      <x:c r="L15" s="51" t="str">
        <x:v>2026-08-01</x:v>
      </x:c>
      <x:c r="M15" s="51" t="str">
        <x:v>Not started</x:v>
      </x:c>
      <x:c r="N15" s="51" t="str"/>
      <x:c r="O15" s="51" t="str">
        <x:v>Review careers page</x:v>
      </x:c>
      <x:c r="P15" s="51" t="str"/>
    </x:row>
    <x:row r="16">
      <x:c r="A16" s="51" t="str">
        <x:v>National specialty acoustics</x:v>
      </x:c>
      <x:c r="B16" s="51" t="str">
        <x:v>Shen Milsom &amp; Wilke (SM&amp;W)</x:v>
      </x:c>
      <x:c r="C16" s="51" t="str">
        <x:v>Acoustics, audiovisual, IT, security and technology consulting</x:v>
      </x:c>
      <x:c r="D16" s="51" t="str">
        <x:v>Acoustics consultant; AV designer; noise/vibration; field/commissioning support</x:v>
      </x:c>
      <x:c r="E16" s="51" t="str">
        <x:v>New York; Chicago; Denver; Washington, DC; Houston; other global offices</x:v>
      </x:c>
      <x:c r="F16" s="51" t="str">
        <x:v>Medium</x:v>
      </x:c>
      <x:c r="G16" s="51" t="str">
        <x:v>Highest</x:v>
      </x:c>
      <x:c r="H16" s="51" t="str">
        <x:v>Large specialty consultancy with both acoustics and AV routes</x:v>
      </x:c>
      <x:c r="I16" s="51" t="str">
        <x:v>https://www.smwllc.com/careers/</x:v>
      </x:c>
      <x:c r="J16" s="51" t="str">
        <x:v>https://www.smwllc.com/services/acoustics/</x:v>
      </x:c>
      <x:c r="K16" s="51" t="str">
        <x:v>Careers, offices and acoustics practice verified</x:v>
      </x:c>
      <x:c r="L16" s="51" t="str">
        <x:v>2026-08-01</x:v>
      </x:c>
      <x:c r="M16" s="51" t="str">
        <x:v>Not started</x:v>
      </x:c>
      <x:c r="N16" s="51" t="str"/>
      <x:c r="O16" s="51" t="str">
        <x:v>Review careers page</x:v>
      </x:c>
      <x:c r="P16" s="51" t="str"/>
    </x:row>
    <x:row r="17">
      <x:c r="A17" s="51" t="str">
        <x:v>National specialty acoustics</x:v>
      </x:c>
      <x:c r="B17" s="51" t="str">
        <x:v>Akustiks</x:v>
      </x:c>
      <x:c r="C17" s="51" t="str">
        <x:v>Concert hall, opera, theater and performing-arts acoustics</x:v>
      </x:c>
      <x:c r="D17" s="51" t="str">
        <x:v>Acoustical consultant; performing-arts acoustics; modeling; field testing</x:v>
      </x:c>
      <x:c r="E17" s="51" t="str">
        <x:v>Norwalk, CT; projects nationally</x:v>
      </x:c>
      <x:c r="F17" s="51" t="str">
        <x:v>Low</x:v>
      </x:c>
      <x:c r="G17" s="51" t="str">
        <x:v>High</x:v>
      </x:c>
      <x:c r="H17" s="51" t="str">
        <x:v>Strong musical and critical-listening fit; narrower and more competitive specialty path</x:v>
      </x:c>
      <x:c r="I17" s="51" t="str">
        <x:v>https://www.akustiks.com/contact/</x:v>
      </x:c>
      <x:c r="J17" s="51" t="str">
        <x:v>https://www.akustiks.com/</x:v>
      </x:c>
      <x:c r="K17" s="51" t="str">
        <x:v>Target specialist; direct careers route not verified</x:v>
      </x:c>
      <x:c r="L17" s="51" t="str">
        <x:v>2026-08-01</x:v>
      </x:c>
      <x:c r="M17" s="51" t="str">
        <x:v>Not started</x:v>
      </x:c>
      <x:c r="N17" s="51" t="str"/>
      <x:c r="O17" s="51" t="str">
        <x:v>Review careers page</x:v>
      </x:c>
      <x:c r="P17" s="51" t="str"/>
    </x:row>
    <x:row r="18">
      <x:c r="A18" s="51" t="str">
        <x:v>National specialty acoustics</x:v>
      </x:c>
      <x:c r="B18" s="51" t="str">
        <x:v>Longman Lindsey</x:v>
      </x:c>
      <x:c r="C18" s="51" t="str">
        <x:v>Architectural acoustics, environmental noise and vibration consulting</x:v>
      </x:c>
      <x:c r="D18" s="51" t="str">
        <x:v>Acoustical consultant; building acoustics; environmental noise; field testing</x:v>
      </x:c>
      <x:c r="E18" s="51" t="str">
        <x:v>New York, NY; Los Angeles, CA</x:v>
      </x:c>
      <x:c r="F18" s="51" t="str">
        <x:v>Low</x:v>
      </x:c>
      <x:c r="G18" s="51" t="str">
        <x:v>High</x:v>
      </x:c>
      <x:c r="H18" s="51" t="str">
        <x:v>Large independent specialist practice with broad building-project exposure</x:v>
      </x:c>
      <x:c r="I18" s="51" t="str">
        <x:v>https://www.longmanlindsey.com/careers</x:v>
      </x:c>
      <x:c r="J18" s="51" t="str">
        <x:v>https://www.longmanlindsey.com/</x:v>
      </x:c>
      <x:c r="K18" s="51" t="str">
        <x:v>Target specialist; opening not verified</x:v>
      </x:c>
      <x:c r="L18" s="51" t="str">
        <x:v>2026-08-01</x:v>
      </x:c>
      <x:c r="M18" s="51" t="str">
        <x:v>Not started</x:v>
      </x:c>
      <x:c r="N18" s="51" t="str"/>
      <x:c r="O18" s="51" t="str">
        <x:v>Review careers page</x:v>
      </x:c>
      <x:c r="P18" s="51" t="str"/>
    </x:row>
    <x:row r="19">
      <x:c r="A19" s="51" t="str">
        <x:v>National specialty acoustics</x:v>
      </x:c>
      <x:c r="B19" s="51" t="str">
        <x:v>Charles M. Salter Associates</x:v>
      </x:c>
      <x:c r="C19" s="51" t="str">
        <x:v>Architectural acoustics, environmental noise and vibration control</x:v>
      </x:c>
      <x:c r="D19" s="51" t="str">
        <x:v>Acoustical consultant; noise analyst; field measurement; project consultant</x:v>
      </x:c>
      <x:c r="E19" s="51" t="str">
        <x:v>San Francisco Bay Area and Los Angeles, CA</x:v>
      </x:c>
      <x:c r="F19" s="51" t="str">
        <x:v>Low</x:v>
      </x:c>
      <x:c r="G19" s="51" t="str">
        <x:v>High</x:v>
      </x:c>
      <x:c r="H19" s="51" t="str">
        <x:v>Well-established specialist practice; strong technical consulting model despite geography</x:v>
      </x:c>
      <x:c r="I19" s="51" t="str">
        <x:v>https://salter-inc.com/careers/</x:v>
      </x:c>
      <x:c r="J19" s="51" t="str">
        <x:v>https://salter-inc.com/</x:v>
      </x:c>
      <x:c r="K19" s="51" t="str">
        <x:v>Target specialist; opening not verified</x:v>
      </x:c>
      <x:c r="L19" s="51" t="str">
        <x:v>2026-08-01</x:v>
      </x:c>
      <x:c r="M19" s="51" t="str">
        <x:v>Not started</x:v>
      </x:c>
      <x:c r="N19" s="51" t="str"/>
      <x:c r="O19" s="51" t="str">
        <x:v>Review careers page</x:v>
      </x:c>
      <x:c r="P19" s="51" t="str"/>
    </x:row>
    <x:row r="20">
      <x:c r="A20" s="51" t="str">
        <x:v>National specialty acoustics</x:v>
      </x:c>
      <x:c r="B20" s="51" t="str">
        <x:v>ABD Engineering &amp; Design</x:v>
      </x:c>
      <x:c r="C20" s="51" t="str">
        <x:v>Architectural acoustics, noise/vibration, AV and technology design</x:v>
      </x:c>
      <x:c r="D20" s="51" t="str">
        <x:v>Acoustical consultant; AV designer; field testing; project engineer</x:v>
      </x:c>
      <x:c r="E20" s="51" t="str">
        <x:v>Grand Rapids, MI; Portland, OR; other offices may vary</x:v>
      </x:c>
      <x:c r="F20" s="51" t="str">
        <x:v>Low</x:v>
      </x:c>
      <x:c r="G20" s="51" t="str">
        <x:v>High</x:v>
      </x:c>
      <x:c r="H20" s="51" t="str">
        <x:v>Audio-engineering background can bridge naturally into acoustics and AV consulting</x:v>
      </x:c>
      <x:c r="I20" s="51" t="str">
        <x:v>https://www.abdengineering.com/careers/</x:v>
      </x:c>
      <x:c r="J20" s="51" t="str">
        <x:v>https://www.abdengineering.com/</x:v>
      </x:c>
      <x:c r="K20" s="51" t="str">
        <x:v>Target specialist; opening not verified</x:v>
      </x:c>
      <x:c r="L20" s="51" t="str">
        <x:v>2026-08-01</x:v>
      </x:c>
      <x:c r="M20" s="51" t="str">
        <x:v>Not started</x:v>
      </x:c>
      <x:c r="N20" s="51" t="str"/>
      <x:c r="O20" s="51" t="str">
        <x:v>Review careers page</x:v>
      </x:c>
      <x:c r="P20" s="51" t="str"/>
    </x:row>
    <x:row r="21">
      <x:c r="A21" s="51" t="str">
        <x:v>National specialty acoustics</x:v>
      </x:c>
      <x:c r="B21" s="51" t="str">
        <x:v>Geiler &amp; Associates</x:v>
      </x:c>
      <x:c r="C21" s="51" t="str">
        <x:v>Architectural acoustics, mechanical noise/vibration and environmental noise</x:v>
      </x:c>
      <x:c r="D21" s="51" t="str">
        <x:v>Acoustical consultant; field testing; HVAC noise; environmental analysis</x:v>
      </x:c>
      <x:c r="E21" s="51" t="str">
        <x:v>Denver, CO</x:v>
      </x:c>
      <x:c r="F21" s="51" t="str">
        <x:v>Low</x:v>
      </x:c>
      <x:c r="G21" s="51" t="str">
        <x:v>Medium</x:v>
      </x:c>
      <x:c r="H21" s="51" t="str">
        <x:v>Good conventional consulting model; geographic relocation likely</x:v>
      </x:c>
      <x:c r="I21" s="51" t="str">
        <x:v>https://geiler.com/contact/</x:v>
      </x:c>
      <x:c r="J21" s="51" t="str">
        <x:v>https://geiler.com/</x:v>
      </x:c>
      <x:c r="K21" s="51" t="str">
        <x:v>Target specialist; careers route may be direct inquiry</x:v>
      </x:c>
      <x:c r="L21" s="51" t="str">
        <x:v>2026-08-01</x:v>
      </x:c>
      <x:c r="M21" s="51" t="str">
        <x:v>Not started</x:v>
      </x:c>
      <x:c r="N21" s="51" t="str"/>
      <x:c r="O21" s="51" t="str">
        <x:v>Review careers page</x:v>
      </x:c>
      <x:c r="P21" s="51" t="str"/>
    </x:row>
    <x:row r="22">
      <x:c r="A22" s="51" t="str">
        <x:v>National specialty acoustics</x:v>
      </x:c>
      <x:c r="B22" s="51" t="str">
        <x:v>BRC Acoustics &amp; Audiovisual Design</x:v>
      </x:c>
      <x:c r="C22" s="51" t="str">
        <x:v>Architectural acoustics, audiovisual design and noise control</x:v>
      </x:c>
      <x:c r="D22" s="51" t="str">
        <x:v>Acoustics consultant; AV designer; field testing</x:v>
      </x:c>
      <x:c r="E22" s="51" t="str">
        <x:v>Seattle, WA</x:v>
      </x:c>
      <x:c r="F22" s="51" t="str">
        <x:v>Low</x:v>
      </x:c>
      <x:c r="G22" s="51" t="str">
        <x:v>Medium</x:v>
      </x:c>
      <x:c r="H22" s="51" t="str">
        <x:v>Technical-audio and AV overlap is relevant, but geography is limiting</x:v>
      </x:c>
      <x:c r="I22" s="51" t="str">
        <x:v>https://brcacoustics.com/contact/</x:v>
      </x:c>
      <x:c r="J22" s="51" t="str">
        <x:v>https://brcacoustics.com/</x:v>
      </x:c>
      <x:c r="K22" s="51" t="str">
        <x:v>Target specialist; careers route may be direct inquiry</x:v>
      </x:c>
      <x:c r="L22" s="51" t="str">
        <x:v>2026-08-01</x:v>
      </x:c>
      <x:c r="M22" s="51" t="str">
        <x:v>Not started</x:v>
      </x:c>
      <x:c r="N22" s="51" t="str"/>
      <x:c r="O22" s="51" t="str">
        <x:v>Review careers page</x:v>
      </x:c>
      <x:c r="P22" s="51" t="str"/>
    </x:row>
    <x:row r="23">
      <x:c r="A23" s="51" t="str">
        <x:v>National specialty acoustics</x:v>
      </x:c>
      <x:c r="B23" s="51" t="str">
        <x:v>Listen Acoustics</x:v>
      </x:c>
      <x:c r="C23" s="51" t="str">
        <x:v>Architectural acoustics, sound isolation and studio/entertainment projects</x:v>
      </x:c>
      <x:c r="D23" s="51" t="str">
        <x:v>Acoustical consultant; studio acoustics; field measurement; modeling</x:v>
      </x:c>
      <x:c r="E23" s="51" t="str">
        <x:v>Los Angeles, CA</x:v>
      </x:c>
      <x:c r="F23" s="51" t="str">
        <x:v>Low</x:v>
      </x:c>
      <x:c r="G23" s="51" t="str">
        <x:v>Medium</x:v>
      </x:c>
      <x:c r="H23" s="51" t="str">
        <x:v>Studio and immersive experience may translate well to entertainment-space acoustics</x:v>
      </x:c>
      <x:c r="I23" s="51" t="str">
        <x:v>https://listenacoustics.com/contact/</x:v>
      </x:c>
      <x:c r="J23" s="51" t="str">
        <x:v>https://listenacoustics.com/</x:v>
      </x:c>
      <x:c r="K23" s="51" t="str">
        <x:v>Target specialist; careers route may be direct inquiry</x:v>
      </x:c>
      <x:c r="L23" s="51" t="str">
        <x:v>2026-08-01</x:v>
      </x:c>
      <x:c r="M23" s="51" t="str">
        <x:v>Not started</x:v>
      </x:c>
      <x:c r="N23" s="51" t="str"/>
      <x:c r="O23" s="51" t="str">
        <x:v>Review careers page</x:v>
      </x:c>
      <x:c r="P23" s="51" t="str"/>
    </x:row>
    <x:row r="24">
      <x:c r="A24" s="51" t="str">
        <x:v>Multidisciplinary AEC / engineering</x:v>
      </x:c>
      <x:c r="B24" s="51" t="str">
        <x:v>Arup</x:v>
      </x:c>
      <x:c r="C24" s="51" t="str">
        <x:v>Global built-environment consultancy with acoustics, theater, AV and multidisciplinary design</x:v>
      </x:c>
      <x:c r="D24" s="51" t="str">
        <x:v>Graduate acoustics consultant; building acoustics; environmental noise; AV/theater</x:v>
      </x:c>
      <x:c r="E24" s="51" t="str">
        <x:v>12 US offices including Washington, DC, Austin, Boston, Los Angeles, New York, San Francisco and Seattle</x:v>
      </x:c>
      <x:c r="F24" s="51" t="str">
        <x:v>Medium</x:v>
      </x:c>
      <x:c r="G24" s="51" t="str">
        <x:v>High</x:v>
      </x:c>
      <x:c r="H24" s="51" t="str">
        <x:v>Structured early-career environment and major-project exposure; no Atlanta office listed in current US office page</x:v>
      </x:c>
      <x:c r="I24" s="51" t="str">
        <x:v>https://www.arup.com/careers/</x:v>
      </x:c>
      <x:c r="J24" s="51" t="str">
        <x:v>https://www.arup.com/en-us/contact-us/united-states-of-america/</x:v>
      </x:c>
      <x:c r="K24" s="51" t="str">
        <x:v>US offices and acoustics-related capability verified</x:v>
      </x:c>
      <x:c r="L24" s="51" t="str">
        <x:v>2026-08-01</x:v>
      </x:c>
      <x:c r="M24" s="51" t="str">
        <x:v>Not started</x:v>
      </x:c>
      <x:c r="N24" s="51" t="str"/>
      <x:c r="O24" s="51" t="str">
        <x:v>Review careers page</x:v>
      </x:c>
      <x:c r="P24" s="51" t="str"/>
    </x:row>
    <x:row r="25">
      <x:c r="A25" s="51" t="str">
        <x:v>Multidisciplinary AEC / engineering</x:v>
      </x:c>
      <x:c r="B25" s="51" t="str">
        <x:v>Stantec</x:v>
      </x:c>
      <x:c r="C25" s="51" t="str">
        <x:v>Building, environmental and transportation acoustics and vibration within a global design firm</x:v>
      </x:c>
      <x:c r="D25" s="51" t="str">
        <x:v>Acoustics consultant; noise/vibration; environmental analyst; modeling</x:v>
      </x:c>
      <x:c r="E25" s="51" t="str">
        <x:v>Extensive North American office network; team location varies</x:v>
      </x:c>
      <x:c r="F25" s="51" t="str">
        <x:v>Medium</x:v>
      </x:c>
      <x:c r="G25" s="51" t="str">
        <x:v>High</x:v>
      </x:c>
      <x:c r="H25" s="51" t="str">
        <x:v>Broad project exposure and established acoustics/vibration practice</x:v>
      </x:c>
      <x:c r="I25" s="51" t="str">
        <x:v>https://www.stantec.com/en/careers</x:v>
      </x:c>
      <x:c r="J25" s="51" t="str">
        <x:v>https://www.stantec.com/en/services/acoustics-vibration</x:v>
      </x:c>
      <x:c r="K25" s="51" t="str">
        <x:v>Acoustics/vibration practice verified; current local role not verified</x:v>
      </x:c>
      <x:c r="L25" s="51" t="str">
        <x:v>2026-08-01</x:v>
      </x:c>
      <x:c r="M25" s="51" t="str">
        <x:v>Not started</x:v>
      </x:c>
      <x:c r="N25" s="51" t="str"/>
      <x:c r="O25" s="51" t="str">
        <x:v>Review careers page</x:v>
      </x:c>
      <x:c r="P25" s="51" t="str"/>
    </x:row>
    <x:row r="26">
      <x:c r="A26" s="51" t="str">
        <x:v>Multidisciplinary AEC / engineering</x:v>
      </x:c>
      <x:c r="B26" s="51" t="str">
        <x:v>AECOM</x:v>
      </x:c>
      <x:c r="C26" s="51" t="str">
        <x:v>Infrastructure and building consulting with environmental noise, vibration and acoustics roles</x:v>
      </x:c>
      <x:c r="D26" s="51" t="str">
        <x:v>Environmental noise analyst; acoustics consultant; transportation noise; field monitoring</x:v>
      </x:c>
      <x:c r="E26" s="51" t="str">
        <x:v>Atlanta and extensive US office network</x:v>
      </x:c>
      <x:c r="F26" s="51" t="str">
        <x:v>High</x:v>
      </x:c>
      <x:c r="G26" s="51" t="str">
        <x:v>High</x:v>
      </x:c>
      <x:c r="H26" s="51" t="str">
        <x:v>Local large-firm route; search environmental and transportation noise as well as “acoustics”</x:v>
      </x:c>
      <x:c r="I26" s="51" t="str">
        <x:v>https://aecom.com/careers/</x:v>
      </x:c>
      <x:c r="J26" s="51" t="str">
        <x:v>https://aecom.com/</x:v>
      </x:c>
      <x:c r="K26" s="51" t="str">
        <x:v>Target employer; acoustics role location requires verification</x:v>
      </x:c>
      <x:c r="L26" s="51" t="str">
        <x:v>2026-08-01</x:v>
      </x:c>
      <x:c r="M26" s="51" t="str">
        <x:v>Not started</x:v>
      </x:c>
      <x:c r="N26" s="51" t="str"/>
      <x:c r="O26" s="51" t="str">
        <x:v>Review careers page</x:v>
      </x:c>
      <x:c r="P26" s="51" t="str"/>
    </x:row>
    <x:row r="27">
      <x:c r="A27" s="51" t="str">
        <x:v>Multidisciplinary AEC / engineering</x:v>
      </x:c>
      <x:c r="B27" s="51" t="str">
        <x:v>HDR</x:v>
      </x:c>
      <x:c r="C27" s="51" t="str">
        <x:v>Architecture and engineering with acoustics, vibration, healthcare and performance-space work</x:v>
      </x:c>
      <x:c r="D27" s="51" t="str">
        <x:v>Acoustics designer; building systems; noise/vibration; architecture support</x:v>
      </x:c>
      <x:c r="E27" s="51" t="str">
        <x:v>Atlanta and extensive US office network</x:v>
      </x:c>
      <x:c r="F27" s="51" t="str">
        <x:v>High</x:v>
      </x:c>
      <x:c r="G27" s="51" t="str">
        <x:v>High</x:v>
      </x:c>
      <x:c r="H27" s="51" t="str">
        <x:v>Local multidisciplinary path with healthcare/education building relevance</x:v>
      </x:c>
      <x:c r="I27" s="51" t="str">
        <x:v>https://www.hdrinc.com/careers</x:v>
      </x:c>
      <x:c r="J27" s="51" t="str">
        <x:v>https://www.hdrinc.com/</x:v>
      </x:c>
      <x:c r="K27" s="51" t="str">
        <x:v>Target employer; acoustics role location requires verification</x:v>
      </x:c>
      <x:c r="L27" s="51" t="str">
        <x:v>2026-08-01</x:v>
      </x:c>
      <x:c r="M27" s="51" t="str">
        <x:v>Not started</x:v>
      </x:c>
      <x:c r="N27" s="51" t="str"/>
      <x:c r="O27" s="51" t="str">
        <x:v>Review careers page</x:v>
      </x:c>
      <x:c r="P27" s="51" t="str"/>
    </x:row>
    <x:row r="28">
      <x:c r="A28" s="51" t="str">
        <x:v>Multidisciplinary AEC / engineering</x:v>
      </x:c>
      <x:c r="B28" s="51" t="str">
        <x:v>Jacobs</x:v>
      </x:c>
      <x:c r="C28" s="51" t="str">
        <x:v>Infrastructure and facilities consulting with environmental noise and vibration work</x:v>
      </x:c>
      <x:c r="D28" s="51" t="str">
        <x:v>Environmental noise analyst; transportation noise; field monitoring; systems consultant</x:v>
      </x:c>
      <x:c r="E28" s="51" t="str">
        <x:v>Atlanta and extensive US office network</x:v>
      </x:c>
      <x:c r="F28" s="51" t="str">
        <x:v>High</x:v>
      </x:c>
      <x:c r="G28" s="51" t="str">
        <x:v>High</x:v>
      </x:c>
      <x:c r="H28" s="51" t="str">
        <x:v>Local large-project route; acoustics may appear under environmental or transportation titles</x:v>
      </x:c>
      <x:c r="I28" s="51" t="str">
        <x:v>https://careers.jacobs.com/</x:v>
      </x:c>
      <x:c r="J28" s="51" t="str">
        <x:v>https://www.jacobs.com/</x:v>
      </x:c>
      <x:c r="K28" s="51" t="str">
        <x:v>Target employer; acoustics role location requires verification</x:v>
      </x:c>
      <x:c r="L28" s="51" t="str">
        <x:v>2026-08-01</x:v>
      </x:c>
      <x:c r="M28" s="51" t="str">
        <x:v>Not started</x:v>
      </x:c>
      <x:c r="N28" s="51" t="str"/>
      <x:c r="O28" s="51" t="str">
        <x:v>Review careers page</x:v>
      </x:c>
      <x:c r="P28" s="51" t="str"/>
    </x:row>
    <x:row r="29">
      <x:c r="A29" s="51" t="str">
        <x:v>Multidisciplinary AEC / engineering</x:v>
      </x:c>
      <x:c r="B29" s="51" t="str">
        <x:v>HOK</x:v>
      </x:c>
      <x:c r="C29" s="51" t="str">
        <x:v>Architecture and design practice employing specialists in performance, building science and acoustics coordination</x:v>
      </x:c>
      <x:c r="D29" s="51" t="str">
        <x:v>Acoustics/building-performance specialist; technical designer; consultant coordination</x:v>
      </x:c>
      <x:c r="E29" s="51" t="str">
        <x:v>Atlanta and multiple US offices</x:v>
      </x:c>
      <x:c r="F29" s="51" t="str">
        <x:v>High</x:v>
      </x:c>
      <x:c r="G29" s="51" t="str">
        <x:v>Medium</x:v>
      </x:c>
      <x:c r="H29" s="51" t="str">
        <x:v>Architect-side pathway could use music-space knowledge, though dedicated acoustics hiring is less consistent</x:v>
      </x:c>
      <x:c r="I29" s="51" t="str">
        <x:v>https://www.hok.com/careers/</x:v>
      </x:c>
      <x:c r="J29" s="51" t="str">
        <x:v>https://www.hok.com/</x:v>
      </x:c>
      <x:c r="K29" s="51" t="str">
        <x:v>Adjacent target; dedicated acoustics practice not verified</x:v>
      </x:c>
      <x:c r="L29" s="51" t="str">
        <x:v>2026-08-01</x:v>
      </x:c>
      <x:c r="M29" s="51" t="str">
        <x:v>Not started</x:v>
      </x:c>
      <x:c r="N29" s="51" t="str"/>
      <x:c r="O29" s="51" t="str">
        <x:v>Review careers page</x:v>
      </x:c>
      <x:c r="P29" s="51" t="str"/>
    </x:row>
    <x:row r="30">
      <x:c r="A30" s="51" t="str">
        <x:v>Multidisciplinary AEC / engineering</x:v>
      </x:c>
      <x:c r="B30" s="51" t="str">
        <x:v>Affiliated Engineers (AEI)</x:v>
      </x:c>
      <x:c r="C30" s="51" t="str">
        <x:v>Building-systems engineering for healthcare, science, higher education and cultural projects</x:v>
      </x:c>
      <x:c r="D30" s="51" t="str">
        <x:v>Building-performance analyst; noise/vibration support; commissioning; systems engineer</x:v>
      </x:c>
      <x:c r="E30" s="51" t="str">
        <x:v>Multiple US offices including Southeast project coverage</x:v>
      </x:c>
      <x:c r="F30" s="51" t="str">
        <x:v>Medium</x:v>
      </x:c>
      <x:c r="G30" s="51" t="str">
        <x:v>Medium</x:v>
      </x:c>
      <x:c r="H30" s="51" t="str">
        <x:v>MEP and commissioning exposure supports the mechanical-noise side of consulting</x:v>
      </x:c>
      <x:c r="I30" s="51" t="str">
        <x:v>https://aeieng.com/careers/</x:v>
      </x:c>
      <x:c r="J30" s="51" t="str">
        <x:v>https://aeieng.com/</x:v>
      </x:c>
      <x:c r="K30" s="51" t="str">
        <x:v>Adjacent target; dedicated acoustics role not verified</x:v>
      </x:c>
      <x:c r="L30" s="51" t="str">
        <x:v>2026-08-01</x:v>
      </x:c>
      <x:c r="M30" s="51" t="str">
        <x:v>Not started</x:v>
      </x:c>
      <x:c r="N30" s="51" t="str"/>
      <x:c r="O30" s="51" t="str">
        <x:v>Review careers page</x:v>
      </x:c>
      <x:c r="P30" s="51" t="str"/>
    </x:row>
    <x:row r="31">
      <x:c r="A31" s="51" t="str">
        <x:v>Environmental / industrial noise</x:v>
      </x:c>
      <x:c r="B31" s="51" t="str">
        <x:v>Trinity Consultants</x:v>
      </x:c>
      <x:c r="C31" s="51" t="str">
        <x:v>Environmental consulting with industrial noise plus Cerami acoustic-design practice</x:v>
      </x:c>
      <x:c r="D31" s="51" t="str">
        <x:v>Noise consultant; environmental analyst; field measurement; permitting support</x:v>
      </x:c>
      <x:c r="E31" s="51" t="str">
        <x:v>Atlanta and many US offices; Cerami offices include Miami and Washington, DC</x:v>
      </x:c>
      <x:c r="F31" s="51" t="str">
        <x:v>High</x:v>
      </x:c>
      <x:c r="G31" s="51" t="str">
        <x:v>High</x:v>
      </x:c>
      <x:c r="H31" s="51" t="str">
        <x:v>Atlanta environmental route plus access to the Cerami acoustics organization</x:v>
      </x:c>
      <x:c r="I31" s="51" t="str">
        <x:v>https://trinityconsultants.com/careers</x:v>
      </x:c>
      <x:c r="J31" s="51" t="str">
        <x:v>https://trinityconsultants.com/</x:v>
      </x:c>
      <x:c r="K31" s="51" t="str">
        <x:v>Employer and Cerami relationship verified; role fit must be checked</x:v>
      </x:c>
      <x:c r="L31" s="51" t="str">
        <x:v>2026-08-01</x:v>
      </x:c>
      <x:c r="M31" s="51" t="str">
        <x:v>Not started</x:v>
      </x:c>
      <x:c r="N31" s="51" t="str"/>
      <x:c r="O31" s="51" t="str">
        <x:v>Review careers page</x:v>
      </x:c>
      <x:c r="P31" s="51" t="str"/>
    </x:row>
    <x:row r="32">
      <x:c r="A32" s="51" t="str">
        <x:v>Environmental / industrial noise</x:v>
      </x:c>
      <x:c r="B32" s="51" t="str">
        <x:v>SLR Consulting</x:v>
      </x:c>
      <x:c r="C32" s="51" t="str">
        <x:v>Environmental and engineering consultancy with acoustics, noise and vibration services</x:v>
      </x:c>
      <x:c r="D32" s="51" t="str">
        <x:v>Noise/vibration consultant; environmental analyst; field monitoring; modeling</x:v>
      </x:c>
      <x:c r="E32" s="51" t="str">
        <x:v>Multiple US offices; Southeast coverage varies</x:v>
      </x:c>
      <x:c r="F32" s="51" t="str">
        <x:v>Medium</x:v>
      </x:c>
      <x:c r="G32" s="51" t="str">
        <x:v>High</x:v>
      </x:c>
      <x:c r="H32" s="51" t="str">
        <x:v>Strong route into practical measurement, regulation, modeling and technical reports</x:v>
      </x:c>
      <x:c r="I32" s="51" t="str">
        <x:v>https://www.slrconsulting.com/careers/</x:v>
      </x:c>
      <x:c r="J32" s="51" t="str">
        <x:v>https://www.slrconsulting.com/services/acoustics-noise-and-vibration/</x:v>
      </x:c>
      <x:c r="K32" s="51" t="str">
        <x:v>Target employer and service relevance identified</x:v>
      </x:c>
      <x:c r="L32" s="51" t="str">
        <x:v>2026-08-01</x:v>
      </x:c>
      <x:c r="M32" s="51" t="str">
        <x:v>Not started</x:v>
      </x:c>
      <x:c r="N32" s="51" t="str"/>
      <x:c r="O32" s="51" t="str">
        <x:v>Review careers page</x:v>
      </x:c>
      <x:c r="P32" s="51" t="str"/>
    </x:row>
    <x:row r="33">
      <x:c r="A33" s="51" t="str">
        <x:v>Environmental / industrial noise</x:v>
      </x:c>
      <x:c r="B33" s="51" t="str">
        <x:v>Ramboll</x:v>
      </x:c>
      <x:c r="C33" s="51" t="str">
        <x:v>Environmental and engineering consultancy with noise, vibration and health-impact work</x:v>
      </x:c>
      <x:c r="D33" s="51" t="str">
        <x:v>Environmental noise consultant; modeling; permitting; field measurement</x:v>
      </x:c>
      <x:c r="E33" s="51" t="str">
        <x:v>Multiple US offices including Southeast markets</x:v>
      </x:c>
      <x:c r="F33" s="51" t="str">
        <x:v>Medium</x:v>
      </x:c>
      <x:c r="G33" s="51" t="str">
        <x:v>High</x:v>
      </x:c>
      <x:c r="H33" s="51" t="str">
        <x:v>Large consulting environment with transferable measurement and reporting work</x:v>
      </x:c>
      <x:c r="I33" s="51" t="str">
        <x:v>https://www.ramboll.com/careers</x:v>
      </x:c>
      <x:c r="J33" s="51" t="str">
        <x:v>https://www.ramboll.com/</x:v>
      </x:c>
      <x:c r="K33" s="51" t="str">
        <x:v>Target employer; current US acoustics role not verified</x:v>
      </x:c>
      <x:c r="L33" s="51" t="str">
        <x:v>2026-08-01</x:v>
      </x:c>
      <x:c r="M33" s="51" t="str">
        <x:v>Not started</x:v>
      </x:c>
      <x:c r="N33" s="51" t="str"/>
      <x:c r="O33" s="51" t="str">
        <x:v>Review careers page</x:v>
      </x:c>
      <x:c r="P33" s="51" t="str"/>
    </x:row>
    <x:row r="34">
      <x:c r="A34" s="51" t="str">
        <x:v>Environmental / industrial noise</x:v>
      </x:c>
      <x:c r="B34" s="51" t="str">
        <x:v>ERM</x:v>
      </x:c>
      <x:c r="C34" s="51" t="str">
        <x:v>Global sustainability and environmental consultancy with industrial and infrastructure noise assessment</x:v>
      </x:c>
      <x:c r="D34" s="51" t="str">
        <x:v>Environmental consultant; noise analyst; field monitoring; permitting</x:v>
      </x:c>
      <x:c r="E34" s="51" t="str">
        <x:v>Atlanta and multiple US offices</x:v>
      </x:c>
      <x:c r="F34" s="51" t="str">
        <x:v>High</x:v>
      </x:c>
      <x:c r="G34" s="51" t="str">
        <x:v>Medium</x:v>
      </x:c>
      <x:c r="H34" s="51" t="str">
        <x:v>Local environmental-consulting route; less aligned with architectural/music acoustics</x:v>
      </x:c>
      <x:c r="I34" s="51" t="str">
        <x:v>https://www.erm.com/careers/</x:v>
      </x:c>
      <x:c r="J34" s="51" t="str">
        <x:v>https://www.erm.com/</x:v>
      </x:c>
      <x:c r="K34" s="51" t="str">
        <x:v>Adjacent target; acoustics role requires verification</x:v>
      </x:c>
      <x:c r="L34" s="51" t="str">
        <x:v>2026-08-01</x:v>
      </x:c>
      <x:c r="M34" s="51" t="str">
        <x:v>Not started</x:v>
      </x:c>
      <x:c r="N34" s="51" t="str"/>
      <x:c r="O34" s="51" t="str">
        <x:v>Review careers page</x:v>
      </x:c>
      <x:c r="P34" s="51" t="str"/>
    </x:row>
    <x:row r="35">
      <x:c r="A35" s="51" t="str">
        <x:v>Environmental / industrial noise</x:v>
      </x:c>
      <x:c r="B35" s="51" t="str">
        <x:v>Epsilon Associates</x:v>
      </x:c>
      <x:c r="C35" s="51" t="str">
        <x:v>Environmental consulting with noise studies, modeling, permitting and impact assessment</x:v>
      </x:c>
      <x:c r="D35" s="51" t="str">
        <x:v>Noise consultant; environmental analyst; field measurement; modeling</x:v>
      </x:c>
      <x:c r="E35" s="51" t="str">
        <x:v>Maynard, MA</x:v>
      </x:c>
      <x:c r="F35" s="51" t="str">
        <x:v>Low</x:v>
      </x:c>
      <x:c r="G35" s="51" t="str">
        <x:v>Medium</x:v>
      </x:c>
      <x:c r="H35" s="51" t="str">
        <x:v>Good example of regulatory environmental-noise practice; relocation required</x:v>
      </x:c>
      <x:c r="I35" s="51" t="str">
        <x:v>https://www.epsilonassociates.com/careers/</x:v>
      </x:c>
      <x:c r="J35" s="51" t="str">
        <x:v>https://www.epsilonassociates.com/</x:v>
      </x:c>
      <x:c r="K35" s="51" t="str">
        <x:v>Target employer; opening not verified</x:v>
      </x:c>
      <x:c r="L35" s="51" t="str">
        <x:v>2026-08-01</x:v>
      </x:c>
      <x:c r="M35" s="51" t="str">
        <x:v>Not started</x:v>
      </x:c>
      <x:c r="N35" s="51" t="str"/>
      <x:c r="O35" s="51" t="str">
        <x:v>Review careers page</x:v>
      </x:c>
      <x:c r="P35" s="51" t="str"/>
    </x:row>
    <x:row r="36">
      <x:c r="A36" s="51" t="str">
        <x:v>Environmental / industrial noise</x:v>
      </x:c>
      <x:c r="B36" s="51" t="str">
        <x:v>RSG</x:v>
      </x:c>
      <x:c r="C36" s="51" t="str">
        <x:v>Research and consulting in transportation, community noise and data analysis</x:v>
      </x:c>
      <x:c r="D36" s="51" t="str">
        <x:v>Noise analyst; transportation acoustics; research analyst; modeling</x:v>
      </x:c>
      <x:c r="E36" s="51" t="str">
        <x:v>White River Junction, VT; remote arrangements vary</x:v>
      </x:c>
      <x:c r="F36" s="51" t="str">
        <x:v>Low</x:v>
      </x:c>
      <x:c r="G36" s="51" t="str">
        <x:v>Medium</x:v>
      </x:c>
      <x:c r="H36" s="51" t="str">
        <x:v>Analytical/research pathway connecting data, transportation and community noise</x:v>
      </x:c>
      <x:c r="I36" s="51" t="str">
        <x:v>https://rsginc.com/careers/</x:v>
      </x:c>
      <x:c r="J36" s="51" t="str">
        <x:v>https://rsginc.com/</x:v>
      </x:c>
      <x:c r="K36" s="51" t="str">
        <x:v>Target employer; opening not verified</x:v>
      </x:c>
      <x:c r="L36" s="51" t="str">
        <x:v>2026-08-01</x:v>
      </x:c>
      <x:c r="M36" s="51" t="str">
        <x:v>Not started</x:v>
      </x:c>
      <x:c r="N36" s="51" t="str"/>
      <x:c r="O36" s="51" t="str">
        <x:v>Review careers page</x:v>
      </x:c>
      <x:c r="P36" s="51" t="str"/>
    </x:row>
    <x:row r="37">
      <x:c r="A37" s="51" t="str">
        <x:v>Environmental / industrial noise</x:v>
      </x:c>
      <x:c r="B37" s="51" t="str">
        <x:v>Terracon</x:v>
      </x:c>
      <x:c r="C37" s="51" t="str">
        <x:v>Environmental and engineering consulting with noise studies appearing in regulatory/project work</x:v>
      </x:c>
      <x:c r="D37" s="51" t="str">
        <x:v>Environmental scientist; field technician; noise monitoring support</x:v>
      </x:c>
      <x:c r="E37" s="51" t="str">
        <x:v>Atlanta and extensive Southeast/US office network</x:v>
      </x:c>
      <x:c r="F37" s="51" t="str">
        <x:v>High</x:v>
      </x:c>
      <x:c r="G37" s="51" t="str">
        <x:v>Medium</x:v>
      </x:c>
      <x:c r="H37" s="51" t="str">
        <x:v>Accessible regional field-consulting employer, but acoustics may be only part of broader roles</x:v>
      </x:c>
      <x:c r="I37" s="51" t="str">
        <x:v>https://careers.terracon.com/</x:v>
      </x:c>
      <x:c r="J37" s="51" t="str">
        <x:v>https://www.terracon.com/</x:v>
      </x:c>
      <x:c r="K37" s="51" t="str">
        <x:v>Adjacent target; dedicated acoustics practice not verified</x:v>
      </x:c>
      <x:c r="L37" s="51" t="str">
        <x:v>2026-08-01</x:v>
      </x:c>
      <x:c r="M37" s="51" t="str">
        <x:v>Not started</x:v>
      </x:c>
      <x:c r="N37" s="51" t="str"/>
      <x:c r="O37" s="51" t="str">
        <x:v>Review careers page</x:v>
      </x:c>
      <x:c r="P37" s="51" t="str"/>
    </x:row>
  </x:sheetData>
  <x:conditionalFormatting sqref="G2:G37">
    <x:cfRule type="containsText" dxfId="2" priority="1" operator="containsText" text="Highest"/>
    <x:cfRule type="containsText" dxfId="3" priority="2" operator="containsText" text="High"/>
  </x:conditionalFormatting>
  <x:dataValidations count="3">
    <x:dataValidation type="list" sqref="M2:M37">
      <x:formula1>"Not started,Watching,Applied,Interviewing,Paused,Closed"</x:formula1>
    </x:dataValidation>
    <x:dataValidation type="list" sqref="F2:F37">
      <x:formula1>"High,Medium,Low"</x:formula1>
    </x:dataValidation>
    <x:dataValidation type="list" sqref="G2:G37">
      <x:formula1>"Highest,High,Medium,Low"</x:formula1>
    </x:dataValidation>
  </x:dataValidations>
  <x:pageMargins left="0.7" right="0.7" top="0.75" bottom="0.75" header="0.3" footer="0.3"/>
  <x:tableParts count="1">
    <x:tablePart xmlns:r="http://schemas.openxmlformats.org/officeDocument/2006/relationships" r:id="Rbda774a3cb6444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x:c r="A1" s="57" t="str">
        <x:v>How to use this employer master list</x:v>
      </x:c>
      <x:c r="B1" s="52"/>
      <x:c r="C1" s="52"/>
      <x:c r="D1" s="52"/>
      <x:c r="E1" s="52"/>
      <x:c r="F1" s="52"/>
    </x:row>
    <x:row r="2">
      <x:c r="A2" s="52"/>
      <x:c r="B2" s="52"/>
      <x:c r="C2" s="52"/>
      <x:c r="D2" s="52"/>
      <x:c r="E2" s="52"/>
      <x:c r="F2" s="52"/>
    </x:row>
    <x:row r="3">
      <x:c r="A3" s="38"/>
      <x:c r="B3" s="38"/>
      <x:c r="C3" s="38"/>
      <x:c r="D3" s="38"/>
      <x:c r="E3" s="38"/>
      <x:c r="F3" s="38"/>
    </x:row>
    <x:row r="4" ht="15" hidden="0" customHeight="1">
      <x:c r="A4" s="53" t="str">
        <x:v>Field</x:v>
      </x:c>
      <x:c r="B4" s="53" t="str">
        <x:v>Meaning</x:v>
      </x:c>
      <x:c r="C4" s="53" t="str">
        <x:v>How Kevin should use it</x:v>
      </x:c>
      <x:c r="D4" s="53" t="str"/>
      <x:c r="E4" s="53" t="str"/>
      <x:c r="F4" s="53" t="str"/>
    </x:row>
    <x:row r="5" ht="39.599998474121094" hidden="0" customHeight="1">
      <x:c r="A5" s="54" t="str">
        <x:v>Priority</x:v>
      </x:c>
      <x:c r="B5" s="54" t="str">
        <x:v>Fit with automotive audio goals, present evidence and realistic entry routes</x:v>
      </x:c>
      <x:c r="C5" s="54" t="str">
        <x:v>Start with Highest; High is the second research wave.</x:v>
      </x:c>
      <x:c r="D5" s="54" t="str"/>
      <x:c r="E5" s="54" t="str"/>
      <x:c r="F5" s="54" t="str"/>
    </x:row>
    <x:row r="6" ht="26.399999618530273" hidden="0" customHeight="1">
      <x:c r="A6" s="54" t="str">
        <x:v>Verification status</x:v>
      </x:c>
      <x:c r="B6" s="54" t="str">
        <x:v>What was actually checked on 2026-08-01</x:v>
      </x:c>
      <x:c r="C6" s="54" t="str">
        <x:v>“Target employer” does not mean an audio opening exists today.</x:v>
      </x:c>
      <x:c r="D6" s="54" t="str"/>
      <x:c r="E6" s="54" t="str"/>
      <x:c r="F6" s="54" t="str"/>
    </x:row>
    <x:row r="7" ht="26.399999618530273" hidden="0" customHeight="1">
      <x:c r="A7" s="54" t="str">
        <x:v>Application status</x:v>
      </x:c>
      <x:c r="B7" s="54" t="str">
        <x:v>Personal pipeline field</x:v>
      </x:c>
      <x:c r="C7" s="54" t="str">
        <x:v>Update after saving a role, applying, interviewing or pausing.</x:v>
      </x:c>
      <x:c r="D7" s="54" t="str"/>
      <x:c r="E7" s="54" t="str"/>
      <x:c r="F7" s="54" t="str"/>
    </x:row>
    <x:row r="8" ht="26.399999618530273" hidden="0" customHeight="1">
      <x:c r="A8" s="54" t="str">
        <x:v>Last checked</x:v>
      </x:c>
      <x:c r="B8" s="54" t="str">
        <x:v>Personal job-search date</x:v>
      </x:c>
      <x:c r="C8" s="54" t="str">
        <x:v>Enter the date each careers page was last searched.</x:v>
      </x:c>
      <x:c r="D8" s="54" t="str"/>
      <x:c r="E8" s="54" t="str"/>
      <x:c r="F8" s="54" t="str"/>
    </x:row>
    <x:row r="9" ht="39.599998474121094" hidden="0" customHeight="1">
      <x:c r="A9" s="54" t="str">
        <x:v>Next action</x:v>
      </x:c>
      <x:c r="B9" s="54" t="str">
        <x:v>One concrete follow-up</x:v>
      </x:c>
      <x:c r="C9" s="54" t="str">
        <x:v>Use role-family keywords below rather than searching only “audio engineer.”</x:v>
      </x:c>
      <x:c r="D9" s="54" t="str"/>
      <x:c r="E9" s="54" t="str"/>
      <x:c r="F9" s="54" t="str"/>
    </x:row>
    <x:row r="10">
      <x:c r="A10" s="38"/>
      <x:c r="B10" s="38"/>
      <x:c r="C10" s="38"/>
      <x:c r="D10" s="38"/>
      <x:c r="E10" s="38"/>
      <x:c r="F10" s="38"/>
    </x:row>
    <x:row r="11" ht="15" hidden="0" customHeight="1">
      <x:c r="A11" s="52" t="str">
        <x:v>Search vocabulary</x:v>
      </x:c>
      <x:c r="B11" s="52"/>
      <x:c r="C11" s="52"/>
      <x:c r="D11" s="52"/>
      <x:c r="E11" s="52"/>
      <x:c r="F11" s="52"/>
    </x:row>
    <x:row r="12" ht="15" hidden="0" customHeight="1">
      <x:c r="A12" s="54" t="str">
        <x:v>Audio systems engineer</x:v>
      </x:c>
      <x:c r="B12" s="54" t="str">
        <x:v>Acoustic systems engineer</x:v>
      </x:c>
      <x:c r="C12" s="54" t="str">
        <x:v>Vehicle audio engineer</x:v>
      </x:c>
      <x:c r="D12" s="54" t="str">
        <x:v>Audio validation engineer</x:v>
      </x:c>
      <x:c r="E12" s="54" t="str">
        <x:v>Audio test engineer</x:v>
      </x:c>
      <x:c r="F12" s="54" t="str">
        <x:v>Acoustic tuning engineer</x:v>
      </x:c>
    </x:row>
    <x:row r="13" ht="15" hidden="0" customHeight="1">
      <x:c r="A13" s="54" t="str">
        <x:v>DSP engineer</x:v>
      </x:c>
      <x:c r="B13" s="54" t="str">
        <x:v>Embedded audio engineer</x:v>
      </x:c>
      <x:c r="C13" s="54" t="str">
        <x:v>Audio software engineer</x:v>
      </x:c>
      <x:c r="D13" s="54" t="str">
        <x:v>Signal processing engineer</x:v>
      </x:c>
      <x:c r="E13" s="54" t="str">
        <x:v>Algorithm engineer</x:v>
      </x:c>
      <x:c r="F13" s="54" t="str">
        <x:v>Audio applications engineer</x:v>
      </x:c>
    </x:row>
    <x:row r="14" ht="15" hidden="0" customHeight="1">
      <x:c r="A14" s="54" t="str">
        <x:v>Infotainment systems engineer</x:v>
      </x:c>
      <x:c r="B14" s="54" t="str">
        <x:v>Cockpit software engineer</x:v>
      </x:c>
      <x:c r="C14" s="54" t="str">
        <x:v>Multimedia engineer</x:v>
      </x:c>
      <x:c r="D14" s="54" t="str">
        <x:v>Systems integration engineer</x:v>
      </x:c>
      <x:c r="E14" s="54" t="str">
        <x:v>Feature owner – audio</x:v>
      </x:c>
      <x:c r="F14" s="54" t="str">
        <x:v>Customer/resident engineer</x:v>
      </x:c>
    </x:row>
    <x:row r="15" ht="15" hidden="0" customHeight="1">
      <x:c r="A15" s="54" t="str">
        <x:v>NVH engineer</x:v>
      </x:c>
      <x:c r="B15" s="54" t="str">
        <x:v>Sound quality engineer</x:v>
      </x:c>
      <x:c r="C15" s="54" t="str">
        <x:v>Psychoacoustics engineer</x:v>
      </x:c>
      <x:c r="D15" s="54" t="str">
        <x:v>Electroacoustic engineer</x:v>
      </x:c>
      <x:c r="E15" s="54" t="str">
        <x:v>Transducer engineer</x:v>
      </x:c>
      <x:c r="F15" s="54" t="str">
        <x:v>Measurement applications engineer</x:v>
      </x:c>
    </x:row>
    <x:row r="16" ht="15" hidden="0" customHeight="1">
      <x:c r="A16" s="54" t="str">
        <x:v>Demo vehicle engineer</x:v>
      </x:c>
      <x:c r="B16" s="54" t="str">
        <x:v>Product applications engineer</x:v>
      </x:c>
      <x:c r="C16" s="54" t="str">
        <x:v>Technical trainer – mobile audio</x:v>
      </x:c>
      <x:c r="D16" s="54" t="str">
        <x:v>Field applications engineer</x:v>
      </x:c>
      <x:c r="E16" s="54" t="str">
        <x:v>Solutions engineer</x:v>
      </x:c>
      <x:c r="F16" s="54" t="str">
        <x:v>Validation specialist</x:v>
      </x:c>
    </x:row>
    <x:row r="17" ht="15" hidden="0" customHeight="1">
      <x:c r="A17" s="54" t="str"/>
      <x:c r="B17" s="54" t="str"/>
      <x:c r="C17" s="54" t="str"/>
      <x:c r="D17" s="54" t="str"/>
      <x:c r="E17" s="54" t="str"/>
      <x:c r="F17" s="54" t="str"/>
    </x:row>
    <x:row r="18" ht="39.599998474121094" hidden="0" customHeight="1">
      <x:c r="A18" s="54" t="str">
        <x:v>Search method</x:v>
      </x:c>
      <x:c r="B18" s="54" t="str">
        <x:v>Employer + one keyword; then broaden to infotainment, validation, acoustics or embedded software.</x:v>
      </x:c>
      <x:c r="C18" s="54" t="str"/>
      <x:c r="D18" s="54" t="str"/>
      <x:c r="E18" s="54" t="str"/>
      <x:c r="F18" s="54" t="str"/>
    </x:row>
    <x:row r="19" ht="39.599998474121094" hidden="0" customHeight="1">
      <x:c r="A19" s="54" t="str">
        <x:v>Evidence rule</x:v>
      </x:c>
      <x:c r="B19" s="54" t="str">
        <x:v>Record an opening only after reading the current posting; save title, location, URL and date.</x:v>
      </x:c>
      <x:c r="C19" s="54" t="str"/>
      <x:c r="D19" s="54" t="str"/>
      <x:c r="E19" s="54" t="str"/>
      <x:c r="F19" s="54" t="str"/>
    </x:row>
    <x:row r="20" ht="52.79999923706055" hidden="0" customHeight="1">
      <x:c r="A20" s="54" t="str">
        <x:v>Geography rule</x:v>
      </x:c>
      <x:c r="B20" s="54" t="str">
        <x:v>Michigan is the deepest US cluster; Southeast rows highlight Atlanta/Georgia and nearby OEM ecosystems.</x:v>
      </x:c>
      <x:c r="C20" s="54" t="str"/>
      <x:c r="D20" s="54" t="str"/>
      <x:c r="E20" s="54" t="str"/>
      <x:c r="F20" s="54" t="str"/>
    </x:row>
    <x:row r="21" ht="52.79999923706055" hidden="0" customHeight="1">
      <x:c r="A21" s="54" t="str">
        <x:v>Scope</x:v>
      </x:c>
      <x:c r="B21" s="54" t="str">
        <x:v>Version 1 begins with automotive audio. Future tabs can add acoustical consulting, studio/immersive audio and music education.</x:v>
      </x:c>
      <x:c r="C21" s="54" t="str"/>
      <x:c r="D21" s="54" t="str"/>
      <x:c r="E21" s="54" t="str"/>
      <x:c r="F21" s="54" t="str"/>
    </x:row>
  </x:sheetData>
  <x:mergeCells>
    <x:mergeCell ref="A1:F2"/>
    <x:mergeCell ref="A11:F1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42" hidden="0" customWidth="1"/>
    <x:col min="3" max="3" width="42" hidden="0" customWidth="1"/>
    <x:col min="4" max="4" width="8" hidden="0" customWidth="1"/>
    <x:col min="5" max="5" width="22" hidden="0" customWidth="1"/>
    <x:col min="6" max="6" width="18" hidden="0" customWidth="1"/>
    <x:col min="7" max="7" width="18" hidden="0" customWidth="1"/>
    <x:col min="8" max="8" width="18" hidden="0" customWidth="1"/>
  </x:cols>
  <x:sheetData>
    <x:row r="1">
      <x:c r="A1" s="81" t="str">
        <x:v>Georgia Music Education Job Search</x:v>
      </x:c>
      <x:c r="B1" s="81"/>
      <x:c r="C1" s="81"/>
      <x:c r="D1" s="81"/>
      <x:c r="E1" s="81"/>
      <x:c r="F1" s="81"/>
      <x:c r="G1" s="81"/>
      <x:c r="H1" s="81"/>
    </x:row>
    <x:row r="2">
      <x:c r="A2" s="81"/>
      <x:c r="B2" s="81"/>
      <x:c r="C2" s="81"/>
      <x:c r="D2" s="81"/>
      <x:c r="E2" s="81"/>
      <x:c r="F2" s="81"/>
      <x:c r="G2" s="81"/>
      <x:c r="H2" s="81"/>
    </x:row>
    <x:row r="3">
      <x:c r="A3" s="82"/>
      <x:c r="B3" s="82"/>
      <x:c r="C3" s="82"/>
      <x:c r="D3" s="82"/>
      <x:c r="E3" s="82"/>
      <x:c r="F3" s="82"/>
      <x:c r="G3" s="82"/>
      <x:c r="H3" s="82"/>
    </x:row>
    <x:row r="4" ht="34" customHeight="1">
      <x:c r="A4" s="65" t="str">
        <x:v>Metro Atlanta priorities, current leads, district portals, and certification planning - updated August 1, 2026</x:v>
      </x:c>
      <x:c r="B4" s="65"/>
      <x:c r="C4" s="65"/>
      <x:c r="D4" s="65"/>
      <x:c r="E4" s="65"/>
      <x:c r="F4" s="65"/>
      <x:c r="G4" s="65"/>
      <x:c r="H4" s="65"/>
    </x:row>
    <x:row r="5">
      <x:c r="A5" s="82"/>
      <x:c r="B5" s="82"/>
      <x:c r="C5" s="82"/>
      <x:c r="D5" s="82"/>
      <x:c r="E5" s="82"/>
      <x:c r="F5" s="82"/>
      <x:c r="G5" s="82"/>
      <x:c r="H5" s="82"/>
    </x:row>
    <x:row r="6">
      <x:c r="A6" s="83" t="str">
        <x:v>Metric</x:v>
      </x:c>
      <x:c r="B6" s="83" t="str">
        <x:v>Count</x:v>
      </x:c>
      <x:c r="C6" s="84"/>
      <x:c r="D6" s="85" t="str">
        <x:v>Recommended starting sequence</x:v>
      </x:c>
      <x:c r="E6" s="85"/>
      <x:c r="F6" s="85"/>
      <x:c r="G6" s="85"/>
      <x:c r="H6" s="85"/>
    </x:row>
    <x:row r="7">
      <x:c r="A7" s="86" t="str">
        <x:v>District/system targets</x:v>
      </x:c>
      <x:c r="B7" s="86" t="n">
        <x:f>COUNTA('GA District Targets'!B2:B24)</x:f>
        <x:v>23</x:v>
      </x:c>
      <x:c r="C7" s="86"/>
      <x:c r="D7" s="86" t="str">
        <x:v>1</x:v>
      </x:c>
      <x:c r="E7" s="86" t="str">
        <x:v>Immediate leads</x:v>
      </x:c>
      <x:c r="F7" s="86" t="str">
        <x:v>Henry assistant band director; Fulton general music; verify APS, DeKalb and Decatur listings.</x:v>
      </x:c>
      <x:c r="G7" s="86"/>
      <x:c r="H7" s="86"/>
    </x:row>
    <x:row r="8">
      <x:c r="A8" s="86" t="str">
        <x:v>Highest priority</x:v>
      </x:c>
      <x:c r="B8" s="86" t="n">
        <x:f>COUNTIF('GA District Targets'!E2:E24,"Highest")</x:f>
        <x:v>3</x:v>
      </x:c>
      <x:c r="C8" s="86"/>
      <x:c r="D8" s="86" t="str">
        <x:v>2</x:v>
      </x:c>
      <x:c r="E8" s="86" t="str">
        <x:v>Closest systems</x:v>
      </x:c>
      <x:c r="F8" s="86" t="str">
        <x:v>Cobb and Marietta City; create/refresh profiles and monitor music plus supply/substitute roles.</x:v>
      </x:c>
      <x:c r="G8" s="86"/>
      <x:c r="H8" s="86"/>
    </x:row>
    <x:row r="9">
      <x:c r="A9" s="86" t="str">
        <x:v>High priority</x:v>
      </x:c>
      <x:c r="B9" s="86" t="n">
        <x:f>COUNTIF('GA District Targets'!E2:E24,"High")</x:f>
        <x:v>10</x:v>
      </x:c>
      <x:c r="C9" s="86"/>
      <x:c r="D9" s="86" t="str">
        <x:v>3</x:v>
      </x:c>
      <x:c r="E9" s="86" t="str">
        <x:v>Large metro systems</x:v>
      </x:c>
      <x:c r="F9" s="86" t="str">
        <x:v>Fulton, APS, DeKalb and Gwinnett; search multiple music-title variants.</x:v>
      </x:c>
      <x:c r="G9" s="86"/>
      <x:c r="H9" s="86"/>
    </x:row>
    <x:row r="10">
      <x:c r="A10" s="86" t="str">
        <x:v>Current/recent music leads</x:v>
      </x:c>
      <x:c r="B10" s="86" t="n">
        <x:f>COUNTA('Current Music Leads'!B2:B11)</x:f>
        <x:v>10</x:v>
      </x:c>
      <x:c r="C10" s="86"/>
      <x:c r="D10" s="86" t="str">
        <x:v>4</x:v>
      </x:c>
      <x:c r="E10" s="86" t="str">
        <x:v>Outer metro</x:v>
      </x:c>
      <x:c r="F10" s="86" t="str">
        <x:v>Cherokee, Paulding, Douglas, Fayette, Henry, Coweta, Rockdale, Forsyth and Buford City.</x:v>
      </x:c>
      <x:c r="G10" s="86"/>
      <x:c r="H10" s="86"/>
    </x:row>
    <x:row r="11">
      <x:c r="A11" s="86" t="str">
        <x:v>Time-sensitive leads</x:v>
      </x:c>
      <x:c r="B11" s="86" t="n">
        <x:f>COUNTIF('Current Music Leads'!H2:H11,"Closing soon")</x:f>
        <x:v>2</x:v>
      </x:c>
      <x:c r="C11" s="86"/>
      <x:c r="D11" s="86" t="str">
        <x:v>5</x:v>
      </x:c>
      <x:c r="E11" s="86" t="str">
        <x:v>Credential maintenance</x:v>
      </x:c>
      <x:c r="F11" s="86" t="str">
        <x:v>Confirm Music P-12 status/renewal in MyPSC before representing it as active.</x:v>
      </x:c>
      <x:c r="G11" s="86"/>
      <x:c r="H11" s="86"/>
    </x:row>
    <x:row r="12">
      <x:c r="A12" s="86"/>
      <x:c r="B12" s="86"/>
      <x:c r="C12" s="86"/>
      <x:c r="D12" s="86" t="str">
        <x:v>6</x:v>
      </x:c>
      <x:c r="E12" s="86" t="str">
        <x:v>Later additions</x:v>
      </x:c>
      <x:c r="F12" s="86" t="str">
        <x:v>Explore other fields only when a real role and GaPSC pathway justify the effort.</x:v>
      </x:c>
      <x:c r="G12" s="86"/>
      <x:c r="H12" s="86"/>
    </x:row>
    <x:row r="13">
      <x:c r="A13" s="86"/>
      <x:c r="B13" s="86"/>
      <x:c r="C13" s="86"/>
      <x:c r="D13" s="86"/>
      <x:c r="E13" s="86"/>
      <x:c r="F13" s="86"/>
      <x:c r="G13" s="86"/>
      <x:c r="H13" s="86"/>
    </x:row>
    <x:row r="14">
      <x:c r="A14" s="87" t="str">
        <x:v>Core search and professional resources</x:v>
      </x:c>
      <x:c r="B14" s="87"/>
      <x:c r="C14" s="87"/>
      <x:c r="D14" s="87"/>
      <x:c r="E14" s="87"/>
      <x:c r="F14" s="87"/>
      <x:c r="G14" s="87"/>
      <x:c r="H14" s="87"/>
    </x:row>
    <x:row r="15" ht="32" customHeight="1">
      <x:c r="A15" s="88" t="str">
        <x:v>TeachGeorgia music search</x:v>
      </x:c>
      <x:c r="B15" s="89" t="str">
        <x:v>https://www.teachgeorgia.org/AdvSearch.aspx?Subjects=100&amp;Systems=All</x:v>
      </x:c>
      <x:c r="C15" s="86" t="str">
        <x:v>Official state database of certified public-school vacancies</x:v>
      </x:c>
      <x:c r="D15" s="86"/>
      <x:c r="E15" s="86"/>
      <x:c r="F15" s="86"/>
      <x:c r="G15" s="86"/>
      <x:c r="H15" s="86"/>
    </x:row>
    <x:row r="16" ht="32" customHeight="1">
      <x:c r="A16" s="88" t="str">
        <x:v>GMEA Job Listings</x:v>
      </x:c>
      <x:c r="B16" s="89" t="str">
        <x:v>https://www.gmea.org/jobs</x:v>
      </x:c>
      <x:c r="C16" s="86" t="str">
        <x:v>Music-specific statewide job board</x:v>
      </x:c>
      <x:c r="D16" s="86"/>
      <x:c r="E16" s="86"/>
      <x:c r="F16" s="86"/>
      <x:c r="G16" s="86"/>
      <x:c r="H16" s="86"/>
    </x:row>
    <x:row r="17" ht="32" customHeight="1">
      <x:c r="A17" s="88" t="str">
        <x:v>GMEA Music Program Leaders site</x:v>
      </x:c>
      <x:c r="B17" s="89" t="str">
        <x:v>https://www.canva.com/design/DAG-ZhFBeW8/AyMElDExAaQHD1Vzdx_VnA/edit</x:v>
      </x:c>
      <x:c r="C17" s="86" t="str">
        <x:v>Hiring-process and music-program leadership resources supplied by Kevin</x:v>
      </x:c>
      <x:c r="D17" s="86"/>
      <x:c r="E17" s="86"/>
      <x:c r="F17" s="86"/>
      <x:c r="G17" s="86"/>
      <x:c r="H17" s="86"/>
    </x:row>
    <x:row r="18" ht="32" customHeight="1">
      <x:c r="A18" s="88" t="str">
        <x:v>GMEA Hiring Presentation</x:v>
      </x:c>
      <x:c r="B18" s="89" t="str">
        <x:v>https://www.canva.com/design/DAF6z3_to9A/M5C_uCFrla-K91xIhbkiNA/view?utm_content=DAF6z3_to9A&amp;utm_campaign=designshare&amp;utm_medium=link2&amp;utm_source=uniquelinks&amp;utlId=h2497d648e4</x:v>
      </x:c>
      <x:c r="C18" s="86" t="str">
        <x:v>Resume, interview and hiring-process presentation linked from the Canva site</x:v>
      </x:c>
      <x:c r="D18" s="86"/>
      <x:c r="E18" s="86"/>
      <x:c r="F18" s="86"/>
      <x:c r="G18" s="86"/>
      <x:c r="H18" s="86"/>
    </x:row>
    <x:row r="19" ht="32" customHeight="1">
      <x:c r="A19" s="88" t="str">
        <x:v>GaDOE Fine Arts Quick Links</x:v>
      </x:c>
      <x:c r="B19" s="89" t="str">
        <x:v>https://linktr.ee/GaDoeFineArts</x:v>
      </x:c>
      <x:c r="C19" s="86" t="str">
        <x:v>State fine-arts resources and supports</x:v>
      </x:c>
      <x:c r="D19" s="86"/>
      <x:c r="E19" s="86"/>
      <x:c r="F19" s="86"/>
      <x:c r="G19" s="86"/>
      <x:c r="H19" s="86"/>
    </x:row>
    <x:row r="20" ht="32" customHeight="1">
      <x:c r="A20" s="90" t="str">
        <x:v>GaPSC / MyPSC</x:v>
      </x:c>
      <x:c r="B20" s="91" t="str">
        <x:v>https://www.gapsc.com/</x:v>
      </x:c>
      <x:c r="C20" s="92" t="str">
        <x:v>Certification, renewal and add-a-field authority</x:v>
      </x:c>
      <x:c r="D20" s="92"/>
      <x:c r="E20" s="92"/>
      <x:c r="F20" s="92"/>
      <x:c r="G20" s="92"/>
      <x:c r="H20" s="92"/>
    </x:row>
  </x:sheetData>
  <x:mergeCells>
    <x:mergeCell ref="A1:H2"/>
    <x:mergeCell ref="A4:H4"/>
    <x:mergeCell ref="D6:H6"/>
    <x:mergeCell ref="A14:H14"/>
  </x:mergeCells>
  <x:pageMargins left="0.7" right="0.7" top="0.75" bottom="0.75" header="0.3" footer="0.3"/>
  <x:legacyDrawing xmlns:r="http://schemas.openxmlformats.org/officeDocument/2006/relationships" r:id="R18d4c710b897473e"/>
  <x:tableParts count="1">
    <x:tablePart xmlns:r="http://schemas.openxmlformats.org/officeDocument/2006/relationships" r:id="Rb44d707ec2694e5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23" hidden="0" customWidth="1"/>
    <x:col min="4" max="4" width="25" hidden="0" customWidth="1"/>
    <x:col min="5" max="5" width="14" hidden="0" customWidth="1"/>
    <x:col min="6" max="6" width="36" hidden="0" customWidth="1"/>
    <x:col min="7" max="7" width="34" hidden="0" customWidth="1"/>
    <x:col min="8" max="8" width="24" hidden="0" customWidth="1"/>
    <x:col min="9" max="9" width="44" hidden="0" customWidth="1"/>
    <x:col min="10" max="10" width="38" hidden="0" customWidth="1"/>
    <x:col min="11" max="11" width="29" hidden="0" customWidth="1"/>
    <x:col min="12" max="12" width="13" hidden="0" customWidth="1"/>
    <x:col min="13" max="13" width="45" hidden="0" customWidth="1"/>
    <x:col min="14" max="14" width="18" hidden="0" customWidth="1"/>
    <x:col min="15" max="15" width="13" hidden="0" customWidth="1"/>
  </x:cols>
  <x:sheetData>
    <x:row r="1" ht="36" customHeight="1">
      <x:c r="A1" s="94" t="str">
        <x:v>Region</x:v>
      </x:c>
      <x:c r="B1" s="94" t="str">
        <x:v>School system</x:v>
      </x:c>
      <x:c r="C1" s="94" t="str">
        <x:v>Hub / area</x:v>
      </x:c>
      <x:c r="D1" s="94" t="str">
        <x:v>Atlanta proximity</x:v>
      </x:c>
      <x:c r="E1" s="94" t="str">
        <x:v>Kevin priority</x:v>
      </x:c>
      <x:c r="F1" s="94" t="str">
        <x:v>Why it fits</x:v>
      </x:c>
      <x:c r="G1" s="94" t="str">
        <x:v>Search terms / route</x:v>
      </x:c>
      <x:c r="H1" s="94" t="str">
        <x:v>Opening signal</x:v>
      </x:c>
      <x:c r="I1" s="94" t="str">
        <x:v>Careers / vacancies URL</x:v>
      </x:c>
      <x:c r="J1" s="94" t="str">
        <x:v>TeachGeorgia music</x:v>
      </x:c>
      <x:c r="K1" s="94" t="str">
        <x:v>GMEA jobs</x:v>
      </x:c>
      <x:c r="L1" s="94" t="str">
        <x:v>Last checked</x:v>
      </x:c>
      <x:c r="M1" s="94" t="str">
        <x:v>Notes</x:v>
      </x:c>
      <x:c r="N1" s="94" t="str">
        <x:v>Application status</x:v>
      </x:c>
      <x:c r="O1" s="94" t="str">
        <x:v>Next review</x:v>
      </x:c>
    </x:row>
    <x:row r="2" ht="52" customHeight="1">
      <x:c r="A2" s="95" t="str">
        <x:v>West/Northwest</x:v>
      </x:c>
      <x:c r="B2" s="95" t="str">
        <x:v>Cobb County School District</x:v>
      </x:c>
      <x:c r="C2" s="95" t="str">
        <x:v>Marietta / Cobb</x:v>
      </x:c>
      <x:c r="D2" s="95" t="str">
        <x:v>Core metro; school-dependent</x:v>
      </x:c>
      <x:c r="E2" s="95" t="str">
        <x:v>Highest</x:v>
      </x:c>
      <x:c r="F2" s="95" t="str">
        <x:v>Existing Cobb experience and local network; large music-program footprint</x:v>
      </x:c>
      <x:c r="G2" s="95" t="str">
        <x:v>Search Music, Band, Orchestra, Chorus, General Music and Supply Teacher</x:v>
      </x:c>
      <x:c r="H2" s="95" t="str">
        <x:v>Watchlist</x:v>
      </x:c>
      <x:c r="I2" s="97" t="str">
        <x:v>https://www.cobbk12.org/employment-opportunities</x:v>
      </x:c>
      <x:c r="J2" s="97" t="str">
        <x:v>https://www.teachgeorgia.org/AdvSearch.aspx?Subjects=100&amp;Systems=All</x:v>
      </x:c>
      <x:c r="K2" s="97" t="str">
        <x:v>https://www.gmea.org/jobs</x:v>
      </x:c>
      <x:c r="L2" s="96" t="n">
        <x:v>46235</x:v>
      </x:c>
      <x:c r="M2" s="95" t="str">
        <x:v>Best first district from Marietta; also monitor supply and substitute roles.</x:v>
      </x:c>
      <x:c r="N2" s="95" t="str">
        <x:v>Not started</x:v>
      </x:c>
      <x:c r="O2" s="96" t="n">
        <x:v>46238</x:v>
      </x:c>
    </x:row>
    <x:row r="3" ht="52" customHeight="1">
      <x:c r="A3" s="95" t="str">
        <x:v>West/Northwest</x:v>
      </x:c>
      <x:c r="B3" s="95" t="str">
        <x:v>Marietta City Schools</x:v>
      </x:c>
      <x:c r="C3" s="95" t="str">
        <x:v>Marietta</x:v>
      </x:c>
      <x:c r="D3" s="95" t="str">
        <x:v>Core metro</x:v>
      </x:c>
      <x:c r="E3" s="95" t="str">
        <x:v>Highest</x:v>
      </x:c>
      <x:c r="F3" s="95" t="str">
        <x:v>Closest city system; direct local relevance</x:v>
      </x:c>
      <x:c r="G3" s="95" t="str">
        <x:v>Search Music and Fine Arts; create SchoolSpring profile</x:v>
      </x:c>
      <x:c r="H3" s="95" t="str">
        <x:v>Watchlist</x:v>
      </x:c>
      <x:c r="I3" s="97" t="str">
        <x:v>https://www.marietta-city.org/careers1</x:v>
      </x:c>
      <x:c r="J3" s="97" t="str">
        <x:v>https://www.teachgeorgia.org/AdvSearch.aspx?Subjects=100&amp;Systems=All</x:v>
      </x:c>
      <x:c r="K3" s="97" t="str">
        <x:v>https://www.gmea.org/jobs</x:v>
      </x:c>
      <x:c r="L3" s="96" t="n">
        <x:v>46235</x:v>
      </x:c>
      <x:c r="M3" s="95" t="str">
        <x:v>Small system, so openings may be infrequent but highly practical.</x:v>
      </x:c>
      <x:c r="N3" s="95" t="str">
        <x:v>Not started</x:v>
      </x:c>
      <x:c r="O3" s="96" t="n">
        <x:v>46238</x:v>
      </x:c>
    </x:row>
    <x:row r="4" ht="52" customHeight="1">
      <x:c r="A4" s="95" t="str">
        <x:v>North/Central/South</x:v>
      </x:c>
      <x:c r="B4" s="95" t="str">
        <x:v>Fulton County Schools</x:v>
      </x:c>
      <x:c r="C4" s="95" t="str">
        <x:v>Fulton / Sandy Springs / South Fulton</x:v>
      </x:c>
      <x:c r="D4" s="95" t="str">
        <x:v>Core metro to outer metro</x:v>
      </x:c>
      <x:c r="E4" s="95" t="str">
        <x:v>Highest</x:v>
      </x:c>
      <x:c r="F4" s="95" t="str">
        <x:v>Large system with current general-music lead and broad school geography</x:v>
      </x:c>
      <x:c r="G4" s="95" t="str">
        <x:v>Search Arts-General Music, Band, Orchestra, Chorus and candidate pools</x:v>
      </x:c>
      <x:c r="H4" s="95" t="str">
        <x:v>Current lead visible</x:v>
      </x:c>
      <x:c r="I4" s="97" t="str">
        <x:v>https://jobs.fultonschools.org/go/Teach/8863000/</x:v>
      </x:c>
      <x:c r="J4" s="97" t="str">
        <x:v>https://www.teachgeorgia.org/AdvSearch.aspx?Subjects=100&amp;Systems=All</x:v>
      </x:c>
      <x:c r="K4" s="97" t="str">
        <x:v>https://www.gmea.org/jobs</x:v>
      </x:c>
      <x:c r="L4" s="96" t="n">
        <x:v>46235</x:v>
      </x:c>
      <x:c r="M4" s="95" t="str">
        <x:v>Prioritize north/central Fulton locations for commute; evaluate each school separately.</x:v>
      </x:c>
      <x:c r="N4" s="95" t="str">
        <x:v>Research</x:v>
      </x:c>
      <x:c r="O4" s="96" t="n">
        <x:v>46236</x:v>
      </x:c>
    </x:row>
    <x:row r="5" ht="52" customHeight="1">
      <x:c r="A5" s="95" t="str">
        <x:v>Central</x:v>
      </x:c>
      <x:c r="B5" s="95" t="str">
        <x:v>Atlanta Public Schools</x:v>
      </x:c>
      <x:c r="C5" s="95" t="str">
        <x:v>Atlanta</x:v>
      </x:c>
      <x:c r="D5" s="95" t="str">
        <x:v>Core metro</x:v>
      </x:c>
      <x:c r="E5" s="95" t="str">
        <x:v>High</x:v>
      </x:c>
      <x:c r="F5" s="95" t="str">
        <x:v>Large urban system; music-certified teacher roles and candidate pools</x:v>
      </x:c>
      <x:c r="G5" s="95" t="str">
        <x:v>Search Music Teacher, Band, Orchestra, Chorus and Fine Arts</x:v>
      </x:c>
      <x:c r="H5" s="95" t="str">
        <x:v>Current/recent lead visible</x:v>
      </x:c>
      <x:c r="I5" s="97" t="str">
        <x:v>https://www.applitrack.com/atlantapublicschools/onlineapp/default.aspx?all=1</x:v>
      </x:c>
      <x:c r="J5" s="97" t="str">
        <x:v>https://www.teachgeorgia.org/AdvSearch.aspx?Subjects=100&amp;Systems=All</x:v>
      </x:c>
      <x:c r="K5" s="97" t="str">
        <x:v>https://www.gmea.org/jobs</x:v>
      </x:c>
      <x:c r="L5" s="96" t="n">
        <x:v>46235</x:v>
      </x:c>
      <x:c r="M5" s="95" t="str">
        <x:v>Traffic and school location materially change commute.</x:v>
      </x:c>
      <x:c r="N5" s="95" t="str">
        <x:v>Research</x:v>
      </x:c>
      <x:c r="O5" s="96" t="n">
        <x:v>46236</x:v>
      </x:c>
    </x:row>
    <x:row r="6" ht="52" customHeight="1">
      <x:c r="A6" s="95" t="str">
        <x:v>East/Central</x:v>
      </x:c>
      <x:c r="B6" s="95" t="str">
        <x:v>DeKalb County School District</x:v>
      </x:c>
      <x:c r="C6" s="95" t="str">
        <x:v>DeKalb / Decatur / Stone Mountain</x:v>
      </x:c>
      <x:c r="D6" s="95" t="str">
        <x:v>Core metro to outer metro</x:v>
      </x:c>
      <x:c r="E6" s="95" t="str">
        <x:v>High</x:v>
      </x:c>
      <x:c r="F6" s="95" t="str">
        <x:v>Multiple current/recent elementary music, band and strings leads</x:v>
      </x:c>
      <x:c r="G6" s="95" t="str">
        <x:v>Search Music, Band, Strings, Orchestra, Chorus and split-school roles</x:v>
      </x:c>
      <x:c r="H6" s="95" t="str">
        <x:v>Current/recent leads visible</x:v>
      </x:c>
      <x:c r="I6" s="97" t="str">
        <x:v>https://www.dekalbschoolsga.org/divisions/human-resources/recruitment</x:v>
      </x:c>
      <x:c r="J6" s="97" t="str">
        <x:v>https://www.teachgeorgia.org/AdvSearch.aspx?Subjects=100&amp;Systems=All</x:v>
      </x:c>
      <x:c r="K6" s="97" t="str">
        <x:v>https://www.gmea.org/jobs</x:v>
      </x:c>
      <x:c r="L6" s="96" t="n">
        <x:v>46235</x:v>
      </x:c>
      <x:c r="M6" s="95" t="str">
        <x:v>Large, varied district; verify each posting in the district portal.</x:v>
      </x:c>
      <x:c r="N6" s="95" t="str">
        <x:v>Research</x:v>
      </x:c>
      <x:c r="O6" s="96" t="n">
        <x:v>46236</x:v>
      </x:c>
    </x:row>
    <x:row r="7" ht="52" customHeight="1">
      <x:c r="A7" s="95" t="str">
        <x:v>Central/East</x:v>
      </x:c>
      <x:c r="B7" s="95" t="str">
        <x:v>City Schools of Decatur</x:v>
      </x:c>
      <x:c r="C7" s="95" t="str">
        <x:v>Decatur</x:v>
      </x:c>
      <x:c r="D7" s="95" t="str">
        <x:v>Core metro</x:v>
      </x:c>
      <x:c r="E7" s="95" t="str">
        <x:v>High</x:v>
      </x:c>
      <x:c r="F7" s="95" t="str">
        <x:v>Current/recent K-2 music lead; compact system</x:v>
      </x:c>
      <x:c r="G7" s="95" t="str">
        <x:v>Search Music and Fine Arts in Frontline</x:v>
      </x:c>
      <x:c r="H7" s="95" t="str">
        <x:v>Current/recent lead visible</x:v>
      </x:c>
      <x:c r="I7" s="97" t="str">
        <x:v>https://www.applitrack.com/csdecatur/onlineapp/default.aspx</x:v>
      </x:c>
      <x:c r="J7" s="97" t="str">
        <x:v>https://www.teachgeorgia.org/AdvSearch.aspx?Subjects=100&amp;Systems=All</x:v>
      </x:c>
      <x:c r="K7" s="97" t="str">
        <x:v>https://www.gmea.org/jobs</x:v>
      </x:c>
      <x:c r="L7" s="96" t="n">
        <x:v>46235</x:v>
      </x:c>
      <x:c r="M7" s="95" t="str">
        <x:v>Small district; strong fit when a music opening appears.</x:v>
      </x:c>
      <x:c r="N7" s="95" t="str">
        <x:v>Research</x:v>
      </x:c>
      <x:c r="O7" s="96" t="n">
        <x:v>46236</x:v>
      </x:c>
    </x:row>
    <x:row r="8" ht="52" customHeight="1">
      <x:c r="A8" s="95" t="str">
        <x:v>Northwest</x:v>
      </x:c>
      <x:c r="B8" s="95" t="str">
        <x:v>Cherokee County School District</x:v>
      </x:c>
      <x:c r="C8" s="95" t="str">
        <x:v>Canton / Woodstock</x:v>
      </x:c>
      <x:c r="D8" s="95" t="str">
        <x:v>Approx. 30-60 min; school-dependent</x:v>
      </x:c>
      <x:c r="E8" s="95" t="str">
        <x:v>High</x:v>
      </x:c>
      <x:c r="F8" s="95" t="str">
        <x:v>Accessible from Marietta; established band/orchestra programs</x:v>
      </x:c>
      <x:c r="G8" s="95" t="str">
        <x:v>Search Music, Band, Orchestra and Chorus; enable job alerts</x:v>
      </x:c>
      <x:c r="H8" s="95" t="str">
        <x:v>Watchlist</x:v>
      </x:c>
      <x:c r="I8" s="97" t="str">
        <x:v>https://www.cherokeek12.net/divisions/human-resources/employment</x:v>
      </x:c>
      <x:c r="J8" s="97" t="str">
        <x:v>https://www.teachgeorgia.org/AdvSearch.aspx?Subjects=100&amp;Systems=All</x:v>
      </x:c>
      <x:c r="K8" s="97" t="str">
        <x:v>https://www.gmea.org/jobs</x:v>
      </x:c>
      <x:c r="L8" s="96" t="n">
        <x:v>46235</x:v>
      </x:c>
      <x:c r="M8" s="95" t="str">
        <x:v>Woodstock/south Cherokee generally more practical than far-north schools.</x:v>
      </x:c>
      <x:c r="N8" s="95" t="str">
        <x:v>Not started</x:v>
      </x:c>
      <x:c r="O8" s="96" t="n">
        <x:v>46238</x:v>
      </x:c>
    </x:row>
    <x:row r="9" ht="52" customHeight="1">
      <x:c r="A9" s="95" t="str">
        <x:v>West/Northwest</x:v>
      </x:c>
      <x:c r="B9" s="95" t="str">
        <x:v>Paulding County School District</x:v>
      </x:c>
      <x:c r="C9" s="95" t="str">
        <x:v>Dallas / Hiram</x:v>
      </x:c>
      <x:c r="D9" s="95" t="str">
        <x:v>Approx. 30-60 min; school-dependent</x:v>
      </x:c>
      <x:c r="E9" s="95" t="str">
        <x:v>High</x:v>
      </x:c>
      <x:c r="F9" s="95" t="str">
        <x:v>Practical west-metro commute from Marietta</x:v>
      </x:c>
      <x:c r="G9" s="95" t="str">
        <x:v>Search Music and Fine Arts in SchoolSpring</x:v>
      </x:c>
      <x:c r="H9" s="95" t="str">
        <x:v>Watchlist</x:v>
      </x:c>
      <x:c r="I9" s="97" t="str">
        <x:v>https://paulding.schoolspring.com/</x:v>
      </x:c>
      <x:c r="J9" s="97" t="str">
        <x:v>https://www.teachgeorgia.org/AdvSearch.aspx?Subjects=100&amp;Systems=All</x:v>
      </x:c>
      <x:c r="K9" s="97" t="str">
        <x:v>https://www.gmea.org/jobs</x:v>
      </x:c>
      <x:c r="L9" s="96" t="n">
        <x:v>46235</x:v>
      </x:c>
      <x:c r="M9" s="95" t="str">
        <x:v>Consider substitute/supply routes while monitoring certified openings.</x:v>
      </x:c>
      <x:c r="N9" s="95" t="str">
        <x:v>Not started</x:v>
      </x:c>
      <x:c r="O9" s="96" t="n">
        <x:v>46238</x:v>
      </x:c>
    </x:row>
    <x:row r="10" ht="52" customHeight="1">
      <x:c r="A10" s="95" t="str">
        <x:v>West</x:v>
      </x:c>
      <x:c r="B10" s="95" t="str">
        <x:v>Douglas County School System</x:v>
      </x:c>
      <x:c r="C10" s="95" t="str">
        <x:v>Douglasville</x:v>
      </x:c>
      <x:c r="D10" s="95" t="str">
        <x:v>Approx. 30-60 min; traffic-dependent</x:v>
      </x:c>
      <x:c r="E10" s="95" t="str">
        <x:v>High</x:v>
      </x:c>
      <x:c r="F10" s="95" t="str">
        <x:v>Reasonable west-metro target with certified openings portal</x:v>
      </x:c>
      <x:c r="G10" s="95" t="str">
        <x:v>Search Music, Band, Orchestra, Chorus and Elementary Teaching</x:v>
      </x:c>
      <x:c r="H10" s="95" t="str">
        <x:v>Watchlist</x:v>
      </x:c>
      <x:c r="I10" s="97" t="str">
        <x:v>https://www.applitrack.com/douglascounty/onlineapp/default.aspx?all=1</x:v>
      </x:c>
      <x:c r="J10" s="97" t="str">
        <x:v>https://www.teachgeorgia.org/AdvSearch.aspx?Subjects=100&amp;Systems=All</x:v>
      </x:c>
      <x:c r="K10" s="97" t="str">
        <x:v>https://www.gmea.org/jobs</x:v>
      </x:c>
      <x:c r="L10" s="96" t="n">
        <x:v>46235</x:v>
      </x:c>
      <x:c r="M10" s="95" t="str">
        <x:v>I-20 traffic can move individual schools outside the intended range.</x:v>
      </x:c>
      <x:c r="N10" s="95" t="str">
        <x:v>Not started</x:v>
      </x:c>
      <x:c r="O10" s="96" t="n">
        <x:v>46238</x:v>
      </x:c>
    </x:row>
    <x:row r="11" ht="52" customHeight="1">
      <x:c r="A11" s="95" t="str">
        <x:v>Northeast</x:v>
      </x:c>
      <x:c r="B11" s="95" t="str">
        <x:v>Gwinnett County Public Schools</x:v>
      </x:c>
      <x:c r="C11" s="95" t="str">
        <x:v>Gwinnett / Suwanee</x:v>
      </x:c>
      <x:c r="D11" s="95" t="str">
        <x:v>Approx. 30-60+ min; school-dependent</x:v>
      </x:c>
      <x:c r="E11" s="95" t="str">
        <x:v>High</x:v>
      </x:c>
      <x:c r="F11" s="95" t="str">
        <x:v>Very large district with broad fine-arts footprint</x:v>
      </x:c>
      <x:c r="G11" s="95" t="str">
        <x:v>Search Music, Band, Orchestra, Chorus and General Music</x:v>
      </x:c>
      <x:c r="H11" s="95" t="str">
        <x:v>Watchlist</x:v>
      </x:c>
      <x:c r="I11" s="97" t="str">
        <x:v>https://www.gcpsk12.org/about-us/careers</x:v>
      </x:c>
      <x:c r="J11" s="97" t="str">
        <x:v>https://www.teachgeorgia.org/AdvSearch.aspx?Subjects=100&amp;Systems=All</x:v>
      </x:c>
      <x:c r="K11" s="97" t="str">
        <x:v>https://www.gmea.org/jobs</x:v>
      </x:c>
      <x:c r="L11" s="96" t="n">
        <x:v>46235</x:v>
      </x:c>
      <x:c r="M11" s="95" t="str">
        <x:v>Prioritize west/southwest Gwinnett if commute matters.</x:v>
      </x:c>
      <x:c r="N11" s="95" t="str">
        <x:v>Not started</x:v>
      </x:c>
      <x:c r="O11" s="96" t="n">
        <x:v>46238</x:v>
      </x:c>
    </x:row>
    <x:row r="12" ht="52" customHeight="1">
      <x:c r="A12" s="95" t="str">
        <x:v>South</x:v>
      </x:c>
      <x:c r="B12" s="95" t="str">
        <x:v>Clayton County Public Schools</x:v>
      </x:c>
      <x:c r="C12" s="95" t="str">
        <x:v>Jonesboro / Riverdale</x:v>
      </x:c>
      <x:c r="D12" s="95" t="str">
        <x:v>Approx. 30-60 min; traffic-dependent</x:v>
      </x:c>
      <x:c r="E12" s="95" t="str">
        <x:v>Medium</x:v>
      </x:c>
      <x:c r="F12" s="95" t="str">
        <x:v>Large district and regular teacher recruitment</x:v>
      </x:c>
      <x:c r="G12" s="95" t="str">
        <x:v>Search Music, Fine Arts and Teacher Pools</x:v>
      </x:c>
      <x:c r="H12" s="95" t="str">
        <x:v>Watchlist</x:v>
      </x:c>
      <x:c r="I12" s="97" t="str">
        <x:v>https://claytoncounty.schoolspring.com/</x:v>
      </x:c>
      <x:c r="J12" s="97" t="str">
        <x:v>https://www.teachgeorgia.org/AdvSearch.aspx?Subjects=100&amp;Systems=All</x:v>
      </x:c>
      <x:c r="K12" s="97" t="str">
        <x:v>https://www.gmea.org/jobs</x:v>
      </x:c>
      <x:c r="L12" s="96" t="n">
        <x:v>46235</x:v>
      </x:c>
      <x:c r="M12" s="95" t="str">
        <x:v>Distance from Marietta may be less practical despite Atlanta proximity.</x:v>
      </x:c>
      <x:c r="N12" s="95" t="str">
        <x:v>Not started</x:v>
      </x:c>
      <x:c r="O12" s="96" t="n">
        <x:v>46239</x:v>
      </x:c>
    </x:row>
    <x:row r="13" ht="52" customHeight="1">
      <x:c r="A13" s="95" t="str">
        <x:v>South</x:v>
      </x:c>
      <x:c r="B13" s="95" t="str">
        <x:v>Fayette County Public Schools</x:v>
      </x:c>
      <x:c r="C13" s="95" t="str">
        <x:v>Fayetteville / Peachtree City</x:v>
      </x:c>
      <x:c r="D13" s="95" t="str">
        <x:v>Approx. 35-60+ min</x:v>
      </x:c>
      <x:c r="E13" s="95" t="str">
        <x:v>High</x:v>
      </x:c>
      <x:c r="F13" s="95" t="str">
        <x:v>Music programs plus proximity to Peachtree City technical-audio ecosystem</x:v>
      </x:c>
      <x:c r="G13" s="95" t="str">
        <x:v>Search Music and Fine Arts in Frontline/YOSS</x:v>
      </x:c>
      <x:c r="H13" s="95" t="str">
        <x:v>Watchlist</x:v>
      </x:c>
      <x:c r="I13" s="97" t="str">
        <x:v>https://www.applitrack.com/fayettega/onlineapp/default.aspx</x:v>
      </x:c>
      <x:c r="J13" s="97" t="str">
        <x:v>https://www.teachgeorgia.org/AdvSearch.aspx?Subjects=100&amp;Systems=All</x:v>
      </x:c>
      <x:c r="K13" s="97" t="str">
        <x:v>https://www.gmea.org/jobs</x:v>
      </x:c>
      <x:c r="L13" s="96" t="n">
        <x:v>46235</x:v>
      </x:c>
      <x:c r="M13" s="95" t="str">
        <x:v>Potentially useful geographic overlap with Panasonic/automotive networking.</x:v>
      </x:c>
      <x:c r="N13" s="95" t="str">
        <x:v>Not started</x:v>
      </x:c>
      <x:c r="O13" s="96" t="n">
        <x:v>46239</x:v>
      </x:c>
    </x:row>
    <x:row r="14" ht="52" customHeight="1">
      <x:c r="A14" s="95" t="str">
        <x:v>South</x:v>
      </x:c>
      <x:c r="B14" s="95" t="str">
        <x:v>Henry County Schools</x:v>
      </x:c>
      <x:c r="C14" s="95" t="str">
        <x:v>McDonough / Stockbridge</x:v>
      </x:c>
      <x:c r="D14" s="95" t="str">
        <x:v>Approx. 35-60+ min; traffic-dependent</x:v>
      </x:c>
      <x:c r="E14" s="95" t="str">
        <x:v>High</x:v>
      </x:c>
      <x:c r="F14" s="95" t="str">
        <x:v>Current assistant band director lead; large system</x:v>
      </x:c>
      <x:c r="G14" s="95" t="str">
        <x:v>Search Band, Music, Orchestra, Chorus and Fine Arts</x:v>
      </x:c>
      <x:c r="H14" s="95" t="str">
        <x:v>Time-sensitive current lead</x:v>
      </x:c>
      <x:c r="I14" s="97" t="str">
        <x:v>https://www.henry.k12.ga.us/careers</x:v>
      </x:c>
      <x:c r="J14" s="97" t="str">
        <x:v>https://www.teachgeorgia.org/AdvSearch.aspx?Subjects=100&amp;Systems=All</x:v>
      </x:c>
      <x:c r="K14" s="97" t="str">
        <x:v>https://www.gmea.org/jobs</x:v>
      </x:c>
      <x:c r="L14" s="96" t="n">
        <x:v>46235</x:v>
      </x:c>
      <x:c r="M14" s="95" t="str">
        <x:v>Assistant Band Director listed on TeachGeorgia with Aug. 3 closing date.</x:v>
      </x:c>
      <x:c r="N14" s="95" t="str">
        <x:v>Review now</x:v>
      </x:c>
      <x:c r="O14" s="96" t="n">
        <x:v>46236</x:v>
      </x:c>
    </x:row>
    <x:row r="15" ht="52" customHeight="1">
      <x:c r="A15" s="95" t="str">
        <x:v>Southwest</x:v>
      </x:c>
      <x:c r="B15" s="95" t="str">
        <x:v>Coweta County School System</x:v>
      </x:c>
      <x:c r="C15" s="95" t="str">
        <x:v>Newnan</x:v>
      </x:c>
      <x:c r="D15" s="95" t="str">
        <x:v>Approx. 40-60+ min</x:v>
      </x:c>
      <x:c r="E15" s="95" t="str">
        <x:v>Medium</x:v>
      </x:c>
      <x:c r="F15" s="95" t="str">
        <x:v>Growing system; viable south/west option</x:v>
      </x:c>
      <x:c r="G15" s="95" t="str">
        <x:v>Search Music and Fine Arts in Frontline</x:v>
      </x:c>
      <x:c r="H15" s="95" t="str">
        <x:v>Watchlist</x:v>
      </x:c>
      <x:c r="I15" s="97" t="str">
        <x:v>https://www.applitrack.com/cowetaschools/OnlineApp/default.aspx</x:v>
      </x:c>
      <x:c r="J15" s="97" t="str">
        <x:v>https://www.teachgeorgia.org/AdvSearch.aspx?Subjects=100&amp;Systems=All</x:v>
      </x:c>
      <x:c r="K15" s="97" t="str">
        <x:v>https://www.gmea.org/jobs</x:v>
      </x:c>
      <x:c r="L15" s="96" t="n">
        <x:v>46235</x:v>
      </x:c>
      <x:c r="M15" s="95" t="str">
        <x:v>Evaluate school location and I-85 commute individually.</x:v>
      </x:c>
      <x:c r="N15" s="95" t="str">
        <x:v>Not started</x:v>
      </x:c>
      <x:c r="O15" s="96" t="n">
        <x:v>46239</x:v>
      </x:c>
    </x:row>
    <x:row r="16" ht="52" customHeight="1">
      <x:c r="A16" s="95" t="str">
        <x:v>East</x:v>
      </x:c>
      <x:c r="B16" s="95" t="str">
        <x:v>Rockdale County Public Schools</x:v>
      </x:c>
      <x:c r="C16" s="95" t="str">
        <x:v>Conyers</x:v>
      </x:c>
      <x:c r="D16" s="95" t="str">
        <x:v>Approx. 35-60+ min</x:v>
      </x:c>
      <x:c r="E16" s="95" t="str">
        <x:v>Medium</x:v>
      </x:c>
      <x:c r="F16" s="95" t="str">
        <x:v>Certified vacancy portal and daily postings</x:v>
      </x:c>
      <x:c r="G16" s="95" t="str">
        <x:v>Search Music, Band, Orchestra, Chorus and Certified Vacancies</x:v>
      </x:c>
      <x:c r="H16" s="95" t="str">
        <x:v>Watchlist</x:v>
      </x:c>
      <x:c r="I16" s="97" t="str">
        <x:v>https://www.rockdaleschools.org/departments/human-resources/certified-vacancies</x:v>
      </x:c>
      <x:c r="J16" s="97" t="str">
        <x:v>https://www.teachgeorgia.org/AdvSearch.aspx?Subjects=100&amp;Systems=All</x:v>
      </x:c>
      <x:c r="K16" s="97" t="str">
        <x:v>https://www.gmea.org/jobs</x:v>
      </x:c>
      <x:c r="L16" s="96" t="n">
        <x:v>46235</x:v>
      </x:c>
      <x:c r="M16" s="95" t="str">
        <x:v>Outer-east commute may exceed target from Marietta.</x:v>
      </x:c>
      <x:c r="N16" s="95" t="str">
        <x:v>Not started</x:v>
      </x:c>
      <x:c r="O16" s="96" t="n">
        <x:v>46239</x:v>
      </x:c>
    </x:row>
    <x:row r="17" ht="52" customHeight="1">
      <x:c r="A17" s="95" t="str">
        <x:v>North</x:v>
      </x:c>
      <x:c r="B17" s="95" t="str">
        <x:v>Forsyth County Schools</x:v>
      </x:c>
      <x:c r="C17" s="95" t="str">
        <x:v>Cumming / Forsyth</x:v>
      </x:c>
      <x:c r="D17" s="95" t="str">
        <x:v>Approx. 35-60+ min</x:v>
      </x:c>
      <x:c r="E17" s="95" t="str">
        <x:v>High</x:v>
      </x:c>
      <x:c r="F17" s="95" t="str">
        <x:v>Growing north-metro district and strong program potential</x:v>
      </x:c>
      <x:c r="G17" s="95" t="str">
        <x:v>Search Music, Band, Orchestra, Chorus and Certified Educator</x:v>
      </x:c>
      <x:c r="H17" s="95" t="str">
        <x:v>Watchlist</x:v>
      </x:c>
      <x:c r="I17" s="97" t="str">
        <x:v>https://www.teachgeorgia.org/AdvSearch.aspx?Subjects=100&amp;Systems=All</x:v>
      </x:c>
      <x:c r="J17" s="97" t="str">
        <x:v>https://www.teachgeorgia.org/AdvSearch.aspx?Subjects=100&amp;Systems=All</x:v>
      </x:c>
      <x:c r="K17" s="97" t="str">
        <x:v>https://www.gmea.org/jobs</x:v>
      </x:c>
      <x:c r="L17" s="96" t="n">
        <x:v>46235</x:v>
      </x:c>
      <x:c r="M17" s="95" t="str">
        <x:v>Use TeachGeorgia until a stable direct careers link is confirmed.</x:v>
      </x:c>
      <x:c r="N17" s="95" t="str">
        <x:v>Not started</x:v>
      </x:c>
      <x:c r="O17" s="96" t="n">
        <x:v>46239</x:v>
      </x:c>
    </x:row>
    <x:row r="18" ht="52" customHeight="1">
      <x:c r="A18" s="95" t="str">
        <x:v>Northeast</x:v>
      </x:c>
      <x:c r="B18" s="95" t="str">
        <x:v>Buford City Schools</x:v>
      </x:c>
      <x:c r="C18" s="95" t="str">
        <x:v>Buford</x:v>
      </x:c>
      <x:c r="D18" s="95" t="str">
        <x:v>Approx. 35-60+ min</x:v>
      </x:c>
      <x:c r="E18" s="95" t="str">
        <x:v>Medium</x:v>
      </x:c>
      <x:c r="F18" s="95" t="str">
        <x:v>Small high-performing city system</x:v>
      </x:c>
      <x:c r="G18" s="95" t="str">
        <x:v>Search Music and Fine Arts through YOSS</x:v>
      </x:c>
      <x:c r="H18" s="95" t="str">
        <x:v>Watchlist</x:v>
      </x:c>
      <x:c r="I18" s="97" t="str">
        <x:v>https://www.bufordcityschools.org/apps/pages/index.jsp?pREC_ID=2684292&amp;type=d&amp;uREC_ID=1617293</x:v>
      </x:c>
      <x:c r="J18" s="97" t="str">
        <x:v>https://www.teachgeorgia.org/AdvSearch.aspx?Subjects=100&amp;Systems=All</x:v>
      </x:c>
      <x:c r="K18" s="97" t="str">
        <x:v>https://www.gmea.org/jobs</x:v>
      </x:c>
      <x:c r="L18" s="96" t="n">
        <x:v>46235</x:v>
      </x:c>
      <x:c r="M18" s="95" t="str">
        <x:v>Infrequent openings; keep as a monitored target.</x:v>
      </x:c>
      <x:c r="N18" s="95" t="str">
        <x:v>Not started</x:v>
      </x:c>
      <x:c r="O18" s="96" t="n">
        <x:v>46240</x:v>
      </x:c>
    </x:row>
    <x:row r="19" ht="52" customHeight="1">
      <x:c r="A19" s="95" t="str">
        <x:v>Northeast</x:v>
      </x:c>
      <x:c r="B19" s="95" t="str">
        <x:v>Hall County Schools</x:v>
      </x:c>
      <x:c r="C19" s="95" t="str">
        <x:v>Gainesville / Flowery Branch</x:v>
      </x:c>
      <x:c r="D19" s="95" t="str">
        <x:v>Outer ring; often near/over 1 hr</x:v>
      </x:c>
      <x:c r="E19" s="95" t="str">
        <x:v>Medium</x:v>
      </x:c>
      <x:c r="F19" s="95" t="str">
        <x:v>Large regional system with certified portal</x:v>
      </x:c>
      <x:c r="G19" s="95" t="str">
        <x:v>Search Music and Fine Arts in certified openings</x:v>
      </x:c>
      <x:c r="H19" s="95" t="str">
        <x:v>Watchlist</x:v>
      </x:c>
      <x:c r="I19" s="97" t="str">
        <x:v>https://www.hallco.org/web/employment-information/</x:v>
      </x:c>
      <x:c r="J19" s="97" t="str">
        <x:v>https://www.teachgeorgia.org/AdvSearch.aspx?Subjects=100&amp;Systems=All</x:v>
      </x:c>
      <x:c r="K19" s="97" t="str">
        <x:v>https://www.gmea.org/jobs</x:v>
      </x:c>
      <x:c r="L19" s="96" t="n">
        <x:v>46235</x:v>
      </x:c>
      <x:c r="M19" s="95" t="str">
        <x:v>Flowery Branch may be more practical than Gainesville-area schools.</x:v>
      </x:c>
      <x:c r="N19" s="95" t="str">
        <x:v>Not started</x:v>
      </x:c>
      <x:c r="O19" s="96" t="n">
        <x:v>46240</x:v>
      </x:c>
    </x:row>
    <x:row r="20" ht="52" customHeight="1">
      <x:c r="A20" s="95" t="str">
        <x:v>Northeast</x:v>
      </x:c>
      <x:c r="B20" s="95" t="str">
        <x:v>Gainesville City School District</x:v>
      </x:c>
      <x:c r="C20" s="95" t="str">
        <x:v>Gainesville</x:v>
      </x:c>
      <x:c r="D20" s="95" t="str">
        <x:v>Outer ring; often over 1 hr</x:v>
      </x:c>
      <x:c r="E20" s="95" t="str">
        <x:v>Medium</x:v>
      </x:c>
      <x:c r="F20" s="95" t="str">
        <x:v>TeachGeorgia showed a current Music teacher lead</x:v>
      </x:c>
      <x:c r="G20" s="95" t="str">
        <x:v>Search Music in Frontline and TeachGeorgia</x:v>
      </x:c>
      <x:c r="H20" s="95" t="str">
        <x:v>Current lead visible</x:v>
      </x:c>
      <x:c r="I20" s="97" t="str">
        <x:v>https://www.applitrack.com/gcssk12/onlineapp/</x:v>
      </x:c>
      <x:c r="J20" s="97" t="str">
        <x:v>https://www.teachgeorgia.org/AdvSearch.aspx?Subjects=100&amp;Systems=All</x:v>
      </x:c>
      <x:c r="K20" s="97" t="str">
        <x:v>https://www.gmea.org/jobs</x:v>
      </x:c>
      <x:c r="L20" s="96" t="n">
        <x:v>46235</x:v>
      </x:c>
      <x:c r="M20" s="95" t="str">
        <x:v>Current lead needs direct posting verification before applying.</x:v>
      </x:c>
      <x:c r="N20" s="95" t="str">
        <x:v>Research</x:v>
      </x:c>
      <x:c r="O20" s="96" t="n">
        <x:v>46236</x:v>
      </x:c>
    </x:row>
    <x:row r="21" ht="52" customHeight="1">
      <x:c r="A21" s="95" t="str">
        <x:v>Southeast</x:v>
      </x:c>
      <x:c r="B21" s="95" t="str">
        <x:v>Butts County School System</x:v>
      </x:c>
      <x:c r="C21" s="95" t="str">
        <x:v>Jackson</x:v>
      </x:c>
      <x:c r="D21" s="95" t="str">
        <x:v>Outer ring; around/over 1 hr</x:v>
      </x:c>
      <x:c r="E21" s="95" t="str">
        <x:v>Medium</x:v>
      </x:c>
      <x:c r="F21" s="95" t="str">
        <x:v>Current/recent elementary music lead</x:v>
      </x:c>
      <x:c r="G21" s="95" t="str">
        <x:v>Search Elementary Music and Music Teacher</x:v>
      </x:c>
      <x:c r="H21" s="95" t="str">
        <x:v>Current/recent lead visible</x:v>
      </x:c>
      <x:c r="I21" s="97" t="str">
        <x:v>https://www.applitrack.com/butts/onlineapp/default.aspx</x:v>
      </x:c>
      <x:c r="J21" s="97" t="str">
        <x:v>https://www.teachgeorgia.org/AdvSearch.aspx?Subjects=100&amp;Systems=All</x:v>
      </x:c>
      <x:c r="K21" s="97" t="str">
        <x:v>https://www.gmea.org/jobs</x:v>
      </x:c>
      <x:c r="L21" s="96" t="n">
        <x:v>46235</x:v>
      </x:c>
      <x:c r="M21" s="95" t="str">
        <x:v>Posting 1615 appeared recently; confirm that it remains open.</x:v>
      </x:c>
      <x:c r="N21" s="95" t="str">
        <x:v>Research</x:v>
      </x:c>
      <x:c r="O21" s="96" t="n">
        <x:v>46236</x:v>
      </x:c>
    </x:row>
    <x:row r="22" ht="52" customHeight="1">
      <x:c r="A22" s="95" t="str">
        <x:v>East</x:v>
      </x:c>
      <x:c r="B22" s="95" t="str">
        <x:v>Newton County Schools</x:v>
      </x:c>
      <x:c r="C22" s="95" t="str">
        <x:v>Covington</x:v>
      </x:c>
      <x:c r="D22" s="95" t="str">
        <x:v>Outer ring; often over 1 hr</x:v>
      </x:c>
      <x:c r="E22" s="95" t="str">
        <x:v>Low</x:v>
      </x:c>
      <x:c r="F22" s="95" t="str">
        <x:v>Statewide fallback district</x:v>
      </x:c>
      <x:c r="G22" s="95" t="str">
        <x:v>Search Music in TeachGeorgia</x:v>
      </x:c>
      <x:c r="H22" s="95" t="str">
        <x:v>Watchlist</x:v>
      </x:c>
      <x:c r="I22" s="97" t="str">
        <x:v>https://www.teachgeorgia.org/AdvSearch.aspx?Subjects=100&amp;Systems=All</x:v>
      </x:c>
      <x:c r="J22" s="97" t="str">
        <x:v>https://www.teachgeorgia.org/AdvSearch.aspx?Subjects=100&amp;Systems=All</x:v>
      </x:c>
      <x:c r="K22" s="97" t="str">
        <x:v>https://www.gmea.org/jobs</x:v>
      </x:c>
      <x:c r="L22" s="96" t="n">
        <x:v>46235</x:v>
      </x:c>
      <x:c r="M22" s="95" t="str">
        <x:v>Keep below closer metro systems unless role is unusually strong.</x:v>
      </x:c>
      <x:c r="N22" s="95" t="str">
        <x:v>Not started</x:v>
      </x:c>
      <x:c r="O22" s="96" t="n">
        <x:v>46242</x:v>
      </x:c>
    </x:row>
    <x:row r="23" ht="52" customHeight="1">
      <x:c r="A23" s="95" t="str">
        <x:v>West</x:v>
      </x:c>
      <x:c r="B23" s="95" t="str">
        <x:v>Carrollton City / Carroll County</x:v>
      </x:c>
      <x:c r="C23" s="95" t="str">
        <x:v>Carrollton</x:v>
      </x:c>
      <x:c r="D23" s="95" t="str">
        <x:v>Outer ring; often over 1 hr</x:v>
      </x:c>
      <x:c r="E23" s="95" t="str">
        <x:v>Low</x:v>
      </x:c>
      <x:c r="F23" s="95" t="str">
        <x:v>Statewide fallback with established music programs</x:v>
      </x:c>
      <x:c r="G23" s="95" t="str">
        <x:v>Search Music, Band and Fine Arts in TeachGeorgia</x:v>
      </x:c>
      <x:c r="H23" s="95" t="str">
        <x:v>Watchlist</x:v>
      </x:c>
      <x:c r="I23" s="97" t="str">
        <x:v>https://www.teachgeorgia.org/AdvSearch.aspx?Subjects=100&amp;Systems=All</x:v>
      </x:c>
      <x:c r="J23" s="97" t="str">
        <x:v>https://www.teachgeorgia.org/AdvSearch.aspx?Subjects=100&amp;Systems=All</x:v>
      </x:c>
      <x:c r="K23" s="97" t="str">
        <x:v>https://www.gmea.org/jobs</x:v>
      </x:c>
      <x:c r="L23" s="96" t="n">
        <x:v>46235</x:v>
      </x:c>
      <x:c r="M23" s="95" t="str">
        <x:v>Consider only for a particularly strong role or relocation case.</x:v>
      </x:c>
      <x:c r="N23" s="95" t="str">
        <x:v>Not started</x:v>
      </x:c>
      <x:c r="O23" s="96" t="n">
        <x:v>46242</x:v>
      </x:c>
    </x:row>
    <x:row r="24" ht="52" customHeight="1">
      <x:c r="A24" s="95" t="str">
        <x:v>Southwest</x:v>
      </x:c>
      <x:c r="B24" s="95" t="str">
        <x:v>Troup County School System</x:v>
      </x:c>
      <x:c r="C24" s="95" t="str">
        <x:v>LaGrange</x:v>
      </x:c>
      <x:c r="D24" s="95" t="str">
        <x:v>Beyond 1 hr</x:v>
      </x:c>
      <x:c r="E24" s="95" t="str">
        <x:v>Low</x:v>
      </x:c>
      <x:c r="F24" s="95" t="str">
        <x:v>Current Music Teacher lead with Aug. 11 closing date</x:v>
      </x:c>
      <x:c r="G24" s="95" t="str">
        <x:v>Search Music in TeachGeorgia</x:v>
      </x:c>
      <x:c r="H24" s="95" t="str">
        <x:v>Time-sensitive statewide lead</x:v>
      </x:c>
      <x:c r="I24" s="97" t="str">
        <x:v>https://www.teachgeorgia.org/AdvSearch.aspx?Subjects=All&amp;Systems=7411</x:v>
      </x:c>
      <x:c r="J24" s="97" t="str">
        <x:v>https://www.teachgeorgia.org/AdvSearch.aspx?Subjects=100&amp;Systems=All</x:v>
      </x:c>
      <x:c r="K24" s="97" t="str">
        <x:v>https://www.gmea.org/jobs</x:v>
      </x:c>
      <x:c r="L24" s="96" t="n">
        <x:v>46235</x:v>
      </x:c>
      <x:c r="M24" s="95" t="str">
        <x:v>Outside preferred radius; retained as statewide fallback.</x:v>
      </x:c>
      <x:c r="N24" s="95" t="str">
        <x:v>Review if flexible</x:v>
      </x:c>
      <x:c r="O24" s="96" t="n">
        <x:v>46237</x:v>
      </x:c>
    </x:row>
  </x:sheetData>
  <x:conditionalFormatting sqref="E2:E24">
    <x:cfRule type="expression" dxfId="4" priority="1">
      <x:formula>E2="Highest"</x:formula>
    </x:cfRule>
    <x:cfRule type="expression" dxfId="5" priority="2">
      <x:formula>E2="High"</x:formula>
    </x:cfRule>
  </x:conditionalFormatting>
  <x:dataValidations count="2">
    <x:dataValidation type="list" sqref="E2:E24">
      <x:formula1>"Highest,High,Medium,Low"</x:formula1>
    </x:dataValidation>
    <x:dataValidation type="list" sqref="N2:N24">
      <x:formula1>"Not started,Research,Review now,Review if flexible,Profile created,Applied,Closed"</x:formula1>
    </x:dataValidation>
  </x:dataValidations>
  <x:pageMargins left="0.7" right="0.7" top="0.75" bottom="0.75" header="0.3" footer="0.3"/>
  <x:tableParts count="1">
    <x:tablePart xmlns:r="http://schemas.openxmlformats.org/officeDocument/2006/relationships" r:id="R9a3b19716aae451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30" hidden="0" customWidth="1"/>
    <x:col min="4" max="4" width="30" hidden="0" customWidth="1"/>
    <x:col min="5" max="5" width="20" hidden="0" customWidth="1"/>
    <x:col min="6" max="6" width="21" hidden="0" customWidth="1"/>
    <x:col min="7" max="7" width="13" hidden="0" customWidth="1"/>
    <x:col min="8" max="8" width="24" hidden="0" customWidth="1"/>
    <x:col min="9" max="9" width="14" hidden="0" customWidth="1"/>
    <x:col min="10" max="10" width="27" hidden="0" customWidth="1"/>
    <x:col min="11" max="11" width="46" hidden="0" customWidth="1"/>
    <x:col min="12" max="12" width="13" hidden="0" customWidth="1"/>
    <x:col min="13" max="13" width="49" hidden="0" customWidth="1"/>
  </x:cols>
  <x:sheetData>
    <x:row r="1" ht="36" customHeight="1">
      <x:c r="A1" s="93" t="str">
        <x:v>Priority</x:v>
      </x:c>
      <x:c r="B1" s="93" t="str">
        <x:v>System</x:v>
      </x:c>
      <x:c r="C1" s="93" t="str">
        <x:v>School / site</x:v>
      </x:c>
      <x:c r="D1" s="93" t="str">
        <x:v>Position</x:v>
      </x:c>
      <x:c r="E1" s="93" t="str">
        <x:v>Music area</x:v>
      </x:c>
      <x:c r="F1" s="93" t="str">
        <x:v>Location</x:v>
      </x:c>
      <x:c r="G1" s="93" t="str">
        <x:v>School year</x:v>
      </x:c>
      <x:c r="H1" s="93" t="str">
        <x:v>Status</x:v>
      </x:c>
      <x:c r="I1" s="93" t="str">
        <x:v>Closing date</x:v>
      </x:c>
      <x:c r="J1" s="93" t="str">
        <x:v>Source type</x:v>
      </x:c>
      <x:c r="K1" s="93" t="str">
        <x:v>Posting / search URL</x:v>
      </x:c>
      <x:c r="L1" s="93" t="str">
        <x:v>Last checked</x:v>
      </x:c>
      <x:c r="M1" s="93" t="str">
        <x:v>Verification / fit note</x:v>
      </x:c>
    </x:row>
    <x:row r="2" ht="54" customHeight="1">
      <x:c r="A2" s="95" t="str">
        <x:v>Immediate</x:v>
      </x:c>
      <x:c r="B2" s="95" t="str">
        <x:v>Fulton County Schools</x:v>
      </x:c>
      <x:c r="C2" s="95" t="str">
        <x:v>High Point Elementary</x:v>
      </x:c>
      <x:c r="D2" s="95" t="str">
        <x:v>Teacher, Arts-General Music</x:v>
      </x:c>
      <x:c r="E2" s="95" t="str">
        <x:v>General Music</x:v>
      </x:c>
      <x:c r="F2" s="95" t="str">
        <x:v>Atlanta / Fulton</x:v>
      </x:c>
      <x:c r="G2" s="95" t="str">
        <x:v>2026-2027</x:v>
      </x:c>
      <x:c r="H2" s="95" t="str">
        <x:v>Open/verify</x:v>
      </x:c>
      <x:c r="I2" s="96" t="str">
        <x:v>Not shown</x:v>
      </x:c>
      <x:c r="J2" s="95" t="str">
        <x:v>Official Fulton careers</x:v>
      </x:c>
      <x:c r="K2" s="97" t="str">
        <x:v>https://jobs.fultonschools.org/go/View-All-Jobs/8863400/</x:v>
      </x:c>
      <x:c r="L2" s="96" t="n">
        <x:v>46235</x:v>
      </x:c>
      <x:c r="M2" s="95" t="str">
        <x:v>Posting ID 35018 visible in official search; inspect exact school/location before applying.</x:v>
      </x:c>
    </x:row>
    <x:row r="3" ht="54" customHeight="1">
      <x:c r="A3" s="95" t="str">
        <x:v>Immediate</x:v>
      </x:c>
      <x:c r="B3" s="95" t="str">
        <x:v>Henry County Schools</x:v>
      </x:c>
      <x:c r="C3" s="95" t="str">
        <x:v>School not shown in index</x:v>
      </x:c>
      <x:c r="D3" s="95" t="str">
        <x:v>Assistant Band Director</x:v>
      </x:c>
      <x:c r="E3" s="95" t="str">
        <x:v>Band</x:v>
      </x:c>
      <x:c r="F3" s="95" t="str">
        <x:v>Henry County</x:v>
      </x:c>
      <x:c r="G3" s="95" t="str">
        <x:v>2026-2027</x:v>
      </x:c>
      <x:c r="H3" s="95" t="str">
        <x:v>Closing soon</x:v>
      </x:c>
      <x:c r="I3" s="96" t="n">
        <x:v>46237</x:v>
      </x:c>
      <x:c r="J3" s="95" t="str">
        <x:v>TeachGeorgia official state database</x:v>
      </x:c>
      <x:c r="K3" s="97" t="str">
        <x:v>https://www.teachgeorgia.org/AdvSearch.aspx?Subjects=100&amp;Systems=All</x:v>
      </x:c>
      <x:c r="L3" s="96" t="n">
        <x:v>46235</x:v>
      </x:c>
      <x:c r="M3" s="95" t="str">
        <x:v>Time-sensitive; open the state listing immediately and verify requirements.</x:v>
      </x:c>
    </x:row>
    <x:row r="4" ht="54" customHeight="1">
      <x:c r="A4" s="95" t="str">
        <x:v>High</x:v>
      </x:c>
      <x:c r="B4" s="95" t="str">
        <x:v>Atlanta Public Schools</x:v>
      </x:c>
      <x:c r="C4" s="95" t="str">
        <x:v>District posting</x:v>
      </x:c>
      <x:c r="D4" s="95" t="str">
        <x:v>Music Teacher</x:v>
      </x:c>
      <x:c r="E4" s="95" t="str">
        <x:v>Music P-12</x:v>
      </x:c>
      <x:c r="F4" s="95" t="str">
        <x:v>Atlanta</x:v>
      </x:c>
      <x:c r="G4" s="95" t="str">
        <x:v>2026-2027</x:v>
      </x:c>
      <x:c r="H4" s="95" t="str">
        <x:v>Visible current/recent lead</x:v>
      </x:c>
      <x:c r="I4" s="96" t="str">
        <x:v>Verify in portal</x:v>
      </x:c>
      <x:c r="J4" s="95" t="str">
        <x:v>Official APS Frontline</x:v>
      </x:c>
      <x:c r="K4" s="97" t="str">
        <x:v>https://www.applitrack.com/atlantapublicschools/onlineapp/default.aspx?all=1</x:v>
      </x:c>
      <x:c r="L4" s="96" t="n">
        <x:v>46235</x:v>
      </x:c>
      <x:c r="M4" s="95" t="str">
        <x:v>Portal text indicates GA Music Teacher certification K-12; locate exact JobID and school.</x:v>
      </x:c>
    </x:row>
    <x:row r="5" ht="54" customHeight="1">
      <x:c r="A5" s="95" t="str">
        <x:v>High</x:v>
      </x:c>
      <x:c r="B5" s="95" t="str">
        <x:v>DeKalb County School District</x:v>
      </x:c>
      <x:c r="C5" s="95" t="str">
        <x:v>Chesnut Elementary</x:v>
      </x:c>
      <x:c r="D5" s="95" t="str">
        <x:v>Band/Strings Teacher</x:v>
      </x:c>
      <x:c r="E5" s="95" t="str">
        <x:v>Band and Strings</x:v>
      </x:c>
      <x:c r="F5" s="95" t="str">
        <x:v>DeKalb</x:v>
      </x:c>
      <x:c r="G5" s="95" t="str">
        <x:v>2026-2027</x:v>
      </x:c>
      <x:c r="H5" s="95" t="str">
        <x:v>Visible current/recent lead</x:v>
      </x:c>
      <x:c r="I5" s="96" t="str">
        <x:v>Verify in portal</x:v>
      </x:c>
      <x:c r="J5" s="95" t="str">
        <x:v>District/aggregated listing</x:v>
      </x:c>
      <x:c r="K5" s="97" t="str">
        <x:v>https://www.dekalbschoolsga.org/divisions/human-resources/recruitment</x:v>
      </x:c>
      <x:c r="L5" s="96" t="n">
        <x:v>46235</x:v>
      </x:c>
      <x:c r="M5" s="95" t="str">
        <x:v>Verify current status and split-school expectations in DCSD portal.</x:v>
      </x:c>
    </x:row>
    <x:row r="6" ht="54" customHeight="1">
      <x:c r="A6" s="95" t="str">
        <x:v>High</x:v>
      </x:c>
      <x:c r="B6" s="95" t="str">
        <x:v>DeKalb County School District</x:v>
      </x:c>
      <x:c r="C6" s="95" t="str">
        <x:v>Barack Obama Magnet of Technology ES</x:v>
      </x:c>
      <x:c r="D6" s="95" t="str">
        <x:v>Teacher, Music</x:v>
      </x:c>
      <x:c r="E6" s="95" t="str">
        <x:v>Elementary Music</x:v>
      </x:c>
      <x:c r="F6" s="95" t="str">
        <x:v>Atlanta / DeKalb</x:v>
      </x:c>
      <x:c r="G6" s="95" t="str">
        <x:v>2026-2027</x:v>
      </x:c>
      <x:c r="H6" s="95" t="str">
        <x:v>Visible current/recent lead</x:v>
      </x:c>
      <x:c r="I6" s="96" t="str">
        <x:v>Verify in portal</x:v>
      </x:c>
      <x:c r="J6" s="95" t="str">
        <x:v>District/aggregated listing</x:v>
      </x:c>
      <x:c r="K6" s="97" t="str">
        <x:v>https://www.dekalbschoolsga.org/divisions/human-resources/recruitment</x:v>
      </x:c>
      <x:c r="L6" s="96" t="n">
        <x:v>46235</x:v>
      </x:c>
      <x:c r="M6" s="95" t="str">
        <x:v>Recently indexed as Area 3 elementary music.</x:v>
      </x:c>
    </x:row>
    <x:row r="7" ht="54" customHeight="1">
      <x:c r="A7" s="95" t="str">
        <x:v>High</x:v>
      </x:c>
      <x:c r="B7" s="95" t="str">
        <x:v>DeKalb County School District</x:v>
      </x:c>
      <x:c r="C7" s="95" t="str">
        <x:v>Smoke Rise Elementary / split locations</x:v>
      </x:c>
      <x:c r="D7" s="95" t="str">
        <x:v>Teacher, Music (Band)</x:v>
      </x:c>
      <x:c r="E7" s="95" t="str">
        <x:v>Elementary Band</x:v>
      </x:c>
      <x:c r="F7" s="95" t="str">
        <x:v>Stone Mountain</x:v>
      </x:c>
      <x:c r="G7" s="95" t="str">
        <x:v>2026-2027</x:v>
      </x:c>
      <x:c r="H7" s="95" t="str">
        <x:v>Visible current/recent lead</x:v>
      </x:c>
      <x:c r="I7" s="96" t="str">
        <x:v>Verify in portal</x:v>
      </x:c>
      <x:c r="J7" s="95" t="str">
        <x:v>District/aggregated listing</x:v>
      </x:c>
      <x:c r="K7" s="97" t="str">
        <x:v>https://www.dekalbschoolsga.org/divisions/human-resources/recruitment</x:v>
      </x:c>
      <x:c r="L7" s="96" t="n">
        <x:v>46235</x:v>
      </x:c>
      <x:c r="M7" s="95" t="str">
        <x:v>Listing indicated service across four locations; assess travel and schedule carefully.</x:v>
      </x:c>
    </x:row>
    <x:row r="8" ht="54" customHeight="1">
      <x:c r="A8" s="95" t="str">
        <x:v>High</x:v>
      </x:c>
      <x:c r="B8" s="95" t="str">
        <x:v>City Schools of Decatur</x:v>
      </x:c>
      <x:c r="C8" s="95" t="str">
        <x:v>Oakhurst Elementary</x:v>
      </x:c>
      <x:c r="D8" s="95" t="str">
        <x:v>K-2 Music Teacher</x:v>
      </x:c>
      <x:c r="E8" s="95" t="str">
        <x:v>Elementary General Music</x:v>
      </x:c>
      <x:c r="F8" s="95" t="str">
        <x:v>Decatur</x:v>
      </x:c>
      <x:c r="G8" s="95" t="str">
        <x:v>2026-2027</x:v>
      </x:c>
      <x:c r="H8" s="95" t="str">
        <x:v>Visible current/recent lead</x:v>
      </x:c>
      <x:c r="I8" s="96" t="str">
        <x:v>Verify in portal</x:v>
      </x:c>
      <x:c r="J8" s="95" t="str">
        <x:v>Official district Frontline</x:v>
      </x:c>
      <x:c r="K8" s="97" t="str">
        <x:v>https://www.applitrack.com/csdecatur/onlineapp/default.aspx</x:v>
      </x:c>
      <x:c r="L8" s="96" t="n">
        <x:v>46235</x:v>
      </x:c>
      <x:c r="M8" s="95" t="str">
        <x:v>Recent indexed listing; confirm open status in Frontline.</x:v>
      </x:c>
    </x:row>
    <x:row r="9" ht="54" customHeight="1">
      <x:c r="A9" s="95" t="str">
        <x:v>Medium</x:v>
      </x:c>
      <x:c r="B9" s="95" t="str">
        <x:v>Butts County School System</x:v>
      </x:c>
      <x:c r="C9" s="95" t="str">
        <x:v>Elementary school TBD</x:v>
      </x:c>
      <x:c r="D9" s="95" t="str">
        <x:v>Music Teacher (Elementary)</x:v>
      </x:c>
      <x:c r="E9" s="95" t="str">
        <x:v>Elementary Music</x:v>
      </x:c>
      <x:c r="F9" s="95" t="str">
        <x:v>Jackson</x:v>
      </x:c>
      <x:c r="G9" s="95" t="str">
        <x:v>2026-2027</x:v>
      </x:c>
      <x:c r="H9" s="95" t="str">
        <x:v>Visible current/recent lead</x:v>
      </x:c>
      <x:c r="I9" s="96" t="str">
        <x:v>Until filled/verify</x:v>
      </x:c>
      <x:c r="J9" s="95" t="str">
        <x:v>Official Frontline posting</x:v>
      </x:c>
      <x:c r="K9" s="97" t="str">
        <x:v>https://www.applitrack.com/butts/onlineapp/default.aspx?AppliTrackJobId=1615&amp;AppliTrackLayoutMode=detail&amp;AppliTrackViewPosting=1</x:v>
      </x:c>
      <x:c r="L9" s="96" t="n">
        <x:v>46235</x:v>
      </x:c>
      <x:c r="M9" s="95" t="str">
        <x:v>About 45 miles south of Atlanta; likely outside preferred Marietta commute.</x:v>
      </x:c>
    </x:row>
    <x:row r="10" ht="54" customHeight="1">
      <x:c r="A10" s="95" t="str">
        <x:v>Medium</x:v>
      </x:c>
      <x:c r="B10" s="95" t="str">
        <x:v>Gainesville City School District</x:v>
      </x:c>
      <x:c r="C10" s="95" t="str">
        <x:v>School not shown in index</x:v>
      </x:c>
      <x:c r="D10" s="95" t="str">
        <x:v>Teacher - Music</x:v>
      </x:c>
      <x:c r="E10" s="95" t="str">
        <x:v>Music</x:v>
      </x:c>
      <x:c r="F10" s="95" t="str">
        <x:v>Gainesville</x:v>
      </x:c>
      <x:c r="G10" s="95" t="str">
        <x:v>2026-2027</x:v>
      </x:c>
      <x:c r="H10" s="95" t="str">
        <x:v>Visible in TeachGeorgia</x:v>
      </x:c>
      <x:c r="I10" s="96" t="str">
        <x:v>Verify in portal</x:v>
      </x:c>
      <x:c r="J10" s="95" t="str">
        <x:v>TeachGeorgia + official Frontline</x:v>
      </x:c>
      <x:c r="K10" s="97" t="str">
        <x:v>https://www.applitrack.com/gcssk12/onlineapp/</x:v>
      </x:c>
      <x:c r="L10" s="96" t="n">
        <x:v>46235</x:v>
      </x:c>
      <x:c r="M10" s="95" t="str">
        <x:v>Outside core radius; verify the posting and school before considering.</x:v>
      </x:c>
    </x:row>
    <x:row r="11" ht="54" customHeight="1">
      <x:c r="A11" s="95" t="str">
        <x:v>Low</x:v>
      </x:c>
      <x:c r="B11" s="95" t="str">
        <x:v>Troup County School System</x:v>
      </x:c>
      <x:c r="C11" s="95" t="str">
        <x:v>School not shown in index</x:v>
      </x:c>
      <x:c r="D11" s="95" t="str">
        <x:v>Music Teacher</x:v>
      </x:c>
      <x:c r="E11" s="95" t="str">
        <x:v>Music</x:v>
      </x:c>
      <x:c r="F11" s="95" t="str">
        <x:v>LaGrange</x:v>
      </x:c>
      <x:c r="G11" s="95" t="str">
        <x:v>2026-2027</x:v>
      </x:c>
      <x:c r="H11" s="95" t="str">
        <x:v>Closing soon</x:v>
      </x:c>
      <x:c r="I11" s="96" t="n">
        <x:v>46245</x:v>
      </x:c>
      <x:c r="J11" s="95" t="str">
        <x:v>TeachGeorgia official state database</x:v>
      </x:c>
      <x:c r="K11" s="97" t="str">
        <x:v>https://www.teachgeorgia.org/AdvSearch.aspx?Subjects=All&amp;Systems=7411</x:v>
      </x:c>
      <x:c r="L11" s="96" t="n">
        <x:v>46235</x:v>
      </x:c>
      <x:c r="M11" s="95" t="str">
        <x:v>Statewide fallback beyond preferred one-hour Atlanta radius.</x:v>
      </x:c>
    </x:row>
  </x:sheetData>
  <x:conditionalFormatting sqref="H2:H11">
    <x:cfRule type="expression" dxfId="6" priority="1">
      <x:formula>H2="Closing soon"</x:formula>
    </x:cfRule>
  </x:conditionalFormatting>
  <x:conditionalFormatting sqref="A2:A11">
    <x:cfRule type="expression" dxfId="7" priority="2">
      <x:formula>A2="Immediate"</x:formula>
    </x:cfRule>
  </x:conditionalFormatting>
  <x:pageMargins left="0.7" right="0.7" top="0.75" bottom="0.75" header="0.3" footer="0.3"/>
  <x:legacyDrawing xmlns:r="http://schemas.openxmlformats.org/officeDocument/2006/relationships" r:id="Re99b5a3e75b34002"/>
  <x:tableParts count="1">
    <x:tablePart xmlns:r="http://schemas.openxmlformats.org/officeDocument/2006/relationships" r:id="R62f35450bc3243d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1" hidden="0" customWidth="1"/>
    <x:col min="2" max="2" width="28" hidden="0" customWidth="1"/>
    <x:col min="3" max="3" width="31" hidden="0" customWidth="1"/>
    <x:col min="4" max="4" width="19" hidden="0" customWidth="1"/>
    <x:col min="5" max="5" width="38" hidden="0" customWidth="1"/>
    <x:col min="6" max="6" width="53" hidden="0" customWidth="1"/>
    <x:col min="7" max="7" width="26" hidden="0" customWidth="1"/>
    <x:col min="8" max="8" width="46" hidden="0" customWidth="1"/>
    <x:col min="9" max="9" width="17" hidden="0" customWidth="1"/>
  </x:cols>
  <x:sheetData>
    <x:row r="1">
      <x:c r="A1" s="61" t="str">
        <x:v>Georgia Certification Strategy</x:v>
      </x:c>
      <x:c r="B1" s="61"/>
      <x:c r="C1" s="61"/>
      <x:c r="D1" s="61"/>
      <x:c r="E1" s="61"/>
      <x:c r="F1" s="61"/>
      <x:c r="G1" s="61"/>
      <x:c r="H1" s="61"/>
      <x:c r="I1" s="61"/>
    </x:row>
    <x:row r="2">
      <x:c r="A2" s="61"/>
      <x:c r="B2" s="61"/>
      <x:c r="C2" s="61"/>
      <x:c r="D2" s="61"/>
      <x:c r="E2" s="61"/>
      <x:c r="F2" s="61"/>
      <x:c r="G2" s="61"/>
      <x:c r="H2" s="61"/>
      <x:c r="I2" s="61"/>
    </x:row>
    <x:row r="4" ht="34" customHeight="1">
      <x:c r="A4" s="65" t="str">
        <x:v>Music P-12 first; other fields only after a real role, individual GaPSC review, and a credible preparation plan</x:v>
      </x:c>
      <x:c r="B4" s="65"/>
      <x:c r="C4" s="65"/>
      <x:c r="D4" s="65"/>
      <x:c r="E4" s="65"/>
      <x:c r="F4" s="65"/>
      <x:c r="G4" s="65"/>
      <x:c r="H4" s="65"/>
      <x:c r="I4" s="65"/>
    </x:row>
    <x:row r="6">
      <x:c r="A6" s="93" t="str">
        <x:v>Stage</x:v>
      </x:c>
      <x:c r="B6" s="93" t="str">
        <x:v>Field / action</x:v>
      </x:c>
      <x:c r="C6" s="93" t="str">
        <x:v>Possible route</x:v>
      </x:c>
      <x:c r="D6" s="93" t="str">
        <x:v>Timing</x:v>
      </x:c>
      <x:c r="E6" s="93" t="str">
        <x:v>Career value</x:v>
      </x:c>
      <x:c r="F6" s="93" t="str">
        <x:v>Important limitation</x:v>
      </x:c>
      <x:c r="G6" s="93" t="str">
        <x:v>Authority</x:v>
      </x:c>
      <x:c r="H6" s="93" t="str">
        <x:v>Official URL</x:v>
      </x:c>
      <x:c r="I6" s="93" t="str">
        <x:v>Priority</x:v>
      </x:c>
    </x:row>
    <x:row r="7" ht="58" customHeight="1">
      <x:c r="A7" s="95" t="str">
        <x:v>Current foundation</x:v>
      </x:c>
      <x:c r="B7" s="95" t="str">
        <x:v>Music P-12</x:v>
      </x:c>
      <x:c r="C7" s="95" t="str">
        <x:v>Renew/reactivate as appropriate</x:v>
      </x:c>
      <x:c r="D7" s="95" t="str">
        <x:v>Immediate when employment or application requires it</x:v>
      </x:c>
      <x:c r="E7" s="95" t="str">
        <x:v>Direct match to band, orchestra, chorus and general-music roles</x:v>
      </x:c>
      <x:c r="F7" s="95" t="str">
        <x:v>Confirm current certificate status and renewal path in MyPSC; do not assume an expired certificate renews automatically.</x:v>
      </x:c>
      <x:c r="G7" s="95" t="str">
        <x:v>MyPSC + GaPSC</x:v>
      </x:c>
      <x:c r="H7" s="97" t="str">
        <x:v>https://mypsc.gapsc.org/</x:v>
      </x:c>
      <x:c r="I7" s="95" t="str">
        <x:v>Priority 1</x:v>
      </x:c>
    </x:row>
    <x:row r="8" ht="58" customHeight="1">
      <x:c r="A8" s="95" t="str">
        <x:v>Credential maintenance</x:v>
      </x:c>
      <x:c r="B8" s="95" t="str">
        <x:v>Georgia certificate renewal</x:v>
      </x:c>
      <x:c r="C8" s="95" t="str">
        <x:v>Complete current GaPSC renewal requirements</x:v>
      </x:c>
      <x:c r="D8" s="95" t="str">
        <x:v>Immediate</x:v>
      </x:c>
      <x:c r="E8" s="95" t="str">
        <x:v>Keeps existing music field usable</x:v>
      </x:c>
      <x:c r="F8" s="95" t="str">
        <x:v>Use individual MyPSC correspondence and employing-district guidance; requirements depend on certificate/status.</x:v>
      </x:c>
      <x:c r="G8" s="95" t="str">
        <x:v>GaPSC</x:v>
      </x:c>
      <x:c r="H8" s="97" t="str">
        <x:v>https://www.gapsc.com/</x:v>
      </x:c>
      <x:c r="I8" s="95" t="str">
        <x:v>Priority 1</x:v>
      </x:c>
    </x:row>
    <x:row r="9" ht="58" customHeight="1">
      <x:c r="A9" s="95" t="str">
        <x:v>Potential add-on</x:v>
      </x:c>
      <x:c r="B9" s="95" t="str">
        <x:v>Computer Science</x:v>
      </x:c>
      <x:c r="C9" s="95" t="str">
        <x:v>Investigate add-a-field route</x:v>
      </x:c>
      <x:c r="D9" s="95" t="str">
        <x:v>Later, if it supports a realistic teaching role</x:v>
      </x:c>
      <x:c r="E9" s="95" t="str">
        <x:v>Connects coding/DSP learning with school technology pathways</x:v>
      </x:c>
      <x:c r="F9" s="95" t="str">
        <x:v>Verify the exact field, grade band and testing/program route in Upgrade Advisor.</x:v>
      </x:c>
      <x:c r="G9" s="95" t="str">
        <x:v>GaPSC Upgrade Advisor</x:v>
      </x:c>
      <x:c r="H9" s="97" t="str">
        <x:v>https://www.gapsc.com/commission/policies_guidelines/UpgradeUtility/Upgrade_Initial.aspx</x:v>
      </x:c>
      <x:c r="I9" s="95" t="str">
        <x:v>Explore</x:v>
      </x:c>
    </x:row>
    <x:row r="10" ht="58" customHeight="1">
      <x:c r="A10" s="95" t="str">
        <x:v>Potential add-on</x:v>
      </x:c>
      <x:c r="B10" s="95" t="str">
        <x:v>CTAE Audio/Video Technology &amp; Film</x:v>
      </x:c>
      <x:c r="C10" s="95" t="str">
        <x:v>Investigate eligibility and experience requirements</x:v>
      </x:c>
      <x:c r="D10" s="95" t="str">
        <x:v>Later</x:v>
      </x:c>
      <x:c r="E10" s="95" t="str">
        <x:v>Closest school subject to technical audio, production and media background</x:v>
      </x:c>
      <x:c r="F10" s="95" t="str">
        <x:v>CTAE fields can have distinct occupational-experience requirements; request an individual GaPSC determination.</x:v>
      </x:c>
      <x:c r="G10" s="95" t="str">
        <x:v>GaPSC</x:v>
      </x:c>
      <x:c r="H10" s="97" t="str">
        <x:v>https://www.gapsc.com/</x:v>
      </x:c>
      <x:c r="I10" s="95" t="str">
        <x:v>Explore carefully</x:v>
      </x:c>
    </x:row>
    <x:row r="11" ht="58" customHeight="1">
      <x:c r="A11" s="95" t="str">
        <x:v>Potential endorsement</x:v>
      </x:c>
      <x:c r="B11" s="95" t="str">
        <x:v>ESOL</x:v>
      </x:c>
      <x:c r="C11" s="95" t="str">
        <x:v>Investigate approved endorsement/program</x:v>
      </x:c>
      <x:c r="D11" s="95" t="str">
        <x:v>Later if district demand and workload justify it</x:v>
      </x:c>
      <x:c r="E11" s="95" t="str">
        <x:v>Useful across diverse metro districts and may broaden assignment flexibility</x:v>
      </x:c>
      <x:c r="F11" s="95" t="str">
        <x:v>An endorsement is not interchangeable with every stand-alone teaching field; verify program requirements.</x:v>
      </x:c>
      <x:c r="G11" s="95" t="str">
        <x:v>GaPSC Add-a-Field Rule</x:v>
      </x:c>
      <x:c r="H11" s="97" t="str">
        <x:v>https://www.gapsc.com/Rules/Current/Certification/505-2-.34.pdf</x:v>
      </x:c>
      <x:c r="I11" s="95" t="str">
        <x:v>Optional</x:v>
      </x:c>
    </x:row>
    <x:row r="12" ht="58" customHeight="1">
      <x:c r="A12" s="95" t="str">
        <x:v>Potential add-on</x:v>
      </x:c>
      <x:c r="B12" s="95" t="str">
        <x:v>Special Education</x:v>
      </x:c>
      <x:c r="C12" s="95" t="str">
        <x:v>Consider only with genuine interest and preparation</x:v>
      </x:c>
      <x:c r="D12" s="95" t="str">
        <x:v>Later</x:v>
      </x:c>
      <x:c r="E12" s="95" t="str">
        <x:v>High-demand field and may complement inclusive music teaching</x:v>
      </x:c>
      <x:c r="F12" s="95" t="str">
        <x:v>Substantial responsibility and training; do not pursue solely to increase job volume.</x:v>
      </x:c>
      <x:c r="G12" s="95" t="str">
        <x:v>GaPSC Add-a-Field Rule</x:v>
      </x:c>
      <x:c r="H12" s="97" t="str">
        <x:v>https://www.gapsc.com/Rules/Current/Certification/505-2-.34.pdf</x:v>
      </x:c>
      <x:c r="I12" s="95" t="str">
        <x:v>Conditional</x:v>
      </x:c>
    </x:row>
    <x:row r="13" ht="58" customHeight="1">
      <x:c r="A13" s="95" t="str">
        <x:v>Potential add-on</x:v>
      </x:c>
      <x:c r="B13" s="95" t="str">
        <x:v>Mathematics 6-12</x:v>
      </x:c>
      <x:c r="C13" s="95" t="str">
        <x:v>Consider only if content readiness is strong</x:v>
      </x:c>
      <x:c r="D13" s="95" t="str">
        <x:v>Later</x:v>
      </x:c>
      <x:c r="E13" s="95" t="str">
        <x:v>Could widen certified openings and connect to technical study</x:v>
      </x:c>
      <x:c r="F13" s="95" t="str">
        <x:v>Passing a test is not the same as classroom readiness; verify pathway and content depth.</x:v>
      </x:c>
      <x:c r="G13" s="95" t="str">
        <x:v>GaPSC Upgrade Advisor</x:v>
      </x:c>
      <x:c r="H13" s="97" t="str">
        <x:v>https://www.gapsc.com/commission/policies_guidelines/UpgradeUtility/Upgrade_Initial.aspx</x:v>
      </x:c>
      <x:c r="I13" s="95" t="str">
        <x:v>Conditional</x:v>
      </x:c>
    </x:row>
    <x:row r="14" ht="58" customHeight="1">
      <x:c r="A14" s="95" t="str">
        <x:v>Potential add-on</x:v>
      </x:c>
      <x:c r="B14" s="95" t="str">
        <x:v>Elementary Education P-5</x:v>
      </x:c>
      <x:c r="C14" s="95" t="str">
        <x:v>Program-based investigation</x:v>
      </x:c>
      <x:c r="D14" s="95" t="str">
        <x:v>Later</x:v>
      </x:c>
      <x:c r="E14" s="95" t="str">
        <x:v>Would broaden elementary classroom options</x:v>
      </x:c>
      <x:c r="F14" s="95" t="str">
        <x:v>Often requires an approved educator-preparation route rather than a simple test-only addition; verify individually.</x:v>
      </x:c>
      <x:c r="G14" s="95" t="str">
        <x:v>GaPSC Add-a-Field Rule</x:v>
      </x:c>
      <x:c r="H14" s="97" t="str">
        <x:v>https://www.gapsc.com/Rules/Current/Certification/505-2-.34.pdf</x:v>
      </x:c>
      <x:c r="I14" s="95" t="str">
        <x:v>Low priority</x:v>
      </x:c>
    </x:row>
    <x:row r="16">
      <x:c r="A16" s="101" t="str">
        <x:v>Planning rule: Do not invest in another certification field merely to increase the number of possible applications. Confirm the role demand, the GaPSC pathway, the preparation burden, and whether you would genuinely accept and sustain that teaching assignment.</x:v>
      </x:c>
      <x:c r="B16" s="101"/>
      <x:c r="C16" s="101"/>
      <x:c r="D16" s="101"/>
      <x:c r="E16" s="101"/>
      <x:c r="F16" s="101"/>
      <x:c r="G16" s="101"/>
      <x:c r="H16" s="101"/>
      <x:c r="I16" s="101"/>
    </x:row>
    <x:row r="17">
      <x:c r="A17" s="101"/>
      <x:c r="B17" s="101"/>
      <x:c r="C17" s="101"/>
      <x:c r="D17" s="101"/>
      <x:c r="E17" s="101"/>
      <x:c r="F17" s="101"/>
      <x:c r="G17" s="101"/>
      <x:c r="H17" s="101"/>
      <x:c r="I17" s="101"/>
    </x:row>
  </x:sheetData>
  <x:mergeCells>
    <x:mergeCell ref="A1:I2"/>
    <x:mergeCell ref="A4:I4"/>
    <x:mergeCell ref="A16:I17"/>
  </x:mergeCells>
  <x:conditionalFormatting sqref="I7:I14">
    <x:cfRule type="expression" dxfId="8" priority="1">
      <x:formula>I7="Priority 1"</x:formula>
    </x:cfRule>
  </x:conditionalFormatting>
  <x:pageMargins left="0.7" right="0.7" top="0.75" bottom="0.75" header="0.3" footer="0.3"/>
  <x:tableParts count="1">
    <x:tablePart xmlns:r="http://schemas.openxmlformats.org/officeDocument/2006/relationships" r:id="R201bc89f891041a0"/>
  </x:tableParts>
</x:worksheet>
</file>